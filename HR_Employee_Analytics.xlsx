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aw_Data" sheetId="1" state="visible" r:id="rId3"/>
    <sheet name="Cleaned_Data" sheetId="2" state="visible" r:id="rId4"/>
    <sheet name="Analysis" sheetId="3" state="visible" r:id="rId5"/>
    <sheet name="PivotTables" sheetId="4" state="visible" r:id="rId6"/>
    <sheet name="Dashboard" sheetId="5" state="visible" r:id="rId7"/>
    <sheet name="Insigh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<sst xmlns="http://schemas.openxmlformats.org/spreadsheetml/2006/main" count="1565" uniqueCount="222">
  <si>
    <t xml:space="preserve">Employee_ID</t>
  </si>
  <si>
    <t xml:space="preserve">Age</t>
  </si>
  <si>
    <t xml:space="preserve">Gender</t>
  </si>
  <si>
    <t xml:space="preserve">Department</t>
  </si>
  <si>
    <t xml:space="preserve">Job_Role</t>
  </si>
  <si>
    <t xml:space="preserve">Education</t>
  </si>
  <si>
    <t xml:space="preserve">Years_of_Experience</t>
  </si>
  <si>
    <t xml:space="preserve">Monthly_Salary</t>
  </si>
  <si>
    <t xml:space="preserve">Performance_Rating</t>
  </si>
  <si>
    <t xml:space="preserve">Job_Satisfaction</t>
  </si>
  <si>
    <t xml:space="preserve">Overtime</t>
  </si>
  <si>
    <t xml:space="preserve">Attendance_Percentage</t>
  </si>
  <si>
    <t xml:space="preserve">Years_at_Company</t>
  </si>
  <si>
    <t xml:space="preserve">Attrition</t>
  </si>
  <si>
    <t xml:space="preserve">EMP0001</t>
  </si>
  <si>
    <t xml:space="preserve">Female</t>
  </si>
  <si>
    <t xml:space="preserve">Finance</t>
  </si>
  <si>
    <t xml:space="preserve">Financial Analyst</t>
  </si>
  <si>
    <t xml:space="preserve">Diploma</t>
  </si>
  <si>
    <t xml:space="preserve">No</t>
  </si>
  <si>
    <t xml:space="preserve">EMP0002</t>
  </si>
  <si>
    <t xml:space="preserve">Male</t>
  </si>
  <si>
    <t xml:space="preserve">HR</t>
  </si>
  <si>
    <t xml:space="preserve">HR Executive</t>
  </si>
  <si>
    <t xml:space="preserve">Bachelor's</t>
  </si>
  <si>
    <t xml:space="preserve">EMP0003</t>
  </si>
  <si>
    <t xml:space="preserve">Sales</t>
  </si>
  <si>
    <t xml:space="preserve">Account Manager</t>
  </si>
  <si>
    <t xml:space="preserve">Master's</t>
  </si>
  <si>
    <t xml:space="preserve">Yes</t>
  </si>
  <si>
    <t xml:space="preserve">EMP0004</t>
  </si>
  <si>
    <t xml:space="preserve">Marketing</t>
  </si>
  <si>
    <t xml:space="preserve">Content Specialist</t>
  </si>
  <si>
    <t xml:space="preserve">EMP0005</t>
  </si>
  <si>
    <t xml:space="preserve">Accountant</t>
  </si>
  <si>
    <t xml:space="preserve">EMP0006</t>
  </si>
  <si>
    <t xml:space="preserve">Recruiter</t>
  </si>
  <si>
    <t xml:space="preserve">EMP0007</t>
  </si>
  <si>
    <t xml:space="preserve">HR Manager</t>
  </si>
  <si>
    <t xml:space="preserve">EMP0008</t>
  </si>
  <si>
    <t xml:space="preserve">Finance Manager</t>
  </si>
  <si>
    <t xml:space="preserve">EMP0009</t>
  </si>
  <si>
    <t xml:space="preserve">Operations</t>
  </si>
  <si>
    <t xml:space="preserve">Operations Executive</t>
  </si>
  <si>
    <t xml:space="preserve">EMP0010</t>
  </si>
  <si>
    <t xml:space="preserve">EMP0011</t>
  </si>
  <si>
    <t xml:space="preserve">Sales Executive</t>
  </si>
  <si>
    <t xml:space="preserve">EMP0012</t>
  </si>
  <si>
    <t xml:space="preserve">Engineering</t>
  </si>
  <si>
    <t xml:space="preserve">QA Engineer</t>
  </si>
  <si>
    <t xml:space="preserve">EMP0013</t>
  </si>
  <si>
    <t xml:space="preserve">EMP0014</t>
  </si>
  <si>
    <t xml:space="preserve">Marketing Executive</t>
  </si>
  <si>
    <t xml:space="preserve">EMP0015</t>
  </si>
  <si>
    <t xml:space="preserve">PhD</t>
  </si>
  <si>
    <t xml:space="preserve">EMP0016</t>
  </si>
  <si>
    <t xml:space="preserve">EMP0017</t>
  </si>
  <si>
    <t xml:space="preserve">Senior Engineer</t>
  </si>
  <si>
    <t xml:space="preserve">EMP0018</t>
  </si>
  <si>
    <t xml:space="preserve">EMP0019</t>
  </si>
  <si>
    <t xml:space="preserve">EMP0020</t>
  </si>
  <si>
    <t xml:space="preserve">EMP0021</t>
  </si>
  <si>
    <t xml:space="preserve">Sales Manager</t>
  </si>
  <si>
    <t xml:space="preserve">EMP0022</t>
  </si>
  <si>
    <t xml:space="preserve">EMP0023</t>
  </si>
  <si>
    <t xml:space="preserve">EMP0024</t>
  </si>
  <si>
    <t xml:space="preserve">EMP0025</t>
  </si>
  <si>
    <t xml:space="preserve">EMP0026</t>
  </si>
  <si>
    <t xml:space="preserve">EMP0027</t>
  </si>
  <si>
    <t xml:space="preserve">Marketing Manager</t>
  </si>
  <si>
    <t xml:space="preserve">EMP0028</t>
  </si>
  <si>
    <t xml:space="preserve">EMP0029</t>
  </si>
  <si>
    <t xml:space="preserve">EMP0030</t>
  </si>
  <si>
    <t xml:space="preserve">EMP0031</t>
  </si>
  <si>
    <t xml:space="preserve">Operations Manager</t>
  </si>
  <si>
    <t xml:space="preserve">EMP0032</t>
  </si>
  <si>
    <t xml:space="preserve">Software Engineer</t>
  </si>
  <si>
    <t xml:space="preserve">EMP0033</t>
  </si>
  <si>
    <t xml:space="preserve">EMP0034</t>
  </si>
  <si>
    <t xml:space="preserve">EMP0035</t>
  </si>
  <si>
    <t xml:space="preserve">EMP0036</t>
  </si>
  <si>
    <t xml:space="preserve">EMP0037</t>
  </si>
  <si>
    <t xml:space="preserve">EMP0038</t>
  </si>
  <si>
    <t xml:space="preserve">EMP0039</t>
  </si>
  <si>
    <t xml:space="preserve">EMP0040</t>
  </si>
  <si>
    <t xml:space="preserve">EMP0041</t>
  </si>
  <si>
    <t xml:space="preserve">EMP0042</t>
  </si>
  <si>
    <t xml:space="preserve">EMP0043</t>
  </si>
  <si>
    <t xml:space="preserve">EMP0044</t>
  </si>
  <si>
    <t xml:space="preserve">Engineering Manager</t>
  </si>
  <si>
    <t xml:space="preserve">EMP0045</t>
  </si>
  <si>
    <t xml:space="preserve">EMP0046</t>
  </si>
  <si>
    <t xml:space="preserve">EMP0047</t>
  </si>
  <si>
    <t xml:space="preserve">EMP0048</t>
  </si>
  <si>
    <t xml:space="preserve">EMP0049</t>
  </si>
  <si>
    <t xml:space="preserve">EMP0050</t>
  </si>
  <si>
    <t xml:space="preserve">EMP0051</t>
  </si>
  <si>
    <t xml:space="preserve">EMP0052</t>
  </si>
  <si>
    <t xml:space="preserve">EMP0053</t>
  </si>
  <si>
    <t xml:space="preserve">EMP0054</t>
  </si>
  <si>
    <t xml:space="preserve">EMP0055</t>
  </si>
  <si>
    <t xml:space="preserve">EMP0056</t>
  </si>
  <si>
    <t xml:space="preserve">EMP0057</t>
  </si>
  <si>
    <t xml:space="preserve">EMP0058</t>
  </si>
  <si>
    <t xml:space="preserve">EMP0059</t>
  </si>
  <si>
    <t xml:space="preserve">EMP0060</t>
  </si>
  <si>
    <t xml:space="preserve">EMP0061</t>
  </si>
  <si>
    <t xml:space="preserve">EMP0062</t>
  </si>
  <si>
    <t xml:space="preserve">EMP0063</t>
  </si>
  <si>
    <t xml:space="preserve">EMP0064</t>
  </si>
  <si>
    <t xml:space="preserve">EMP0065</t>
  </si>
  <si>
    <t xml:space="preserve">EMP0066</t>
  </si>
  <si>
    <t xml:space="preserve">EMP0067</t>
  </si>
  <si>
    <t xml:space="preserve">EMP0068</t>
  </si>
  <si>
    <t xml:space="preserve">EMP0069</t>
  </si>
  <si>
    <t xml:space="preserve">EMP0070</t>
  </si>
  <si>
    <t xml:space="preserve">EMP0071</t>
  </si>
  <si>
    <t xml:space="preserve">EMP0072</t>
  </si>
  <si>
    <t xml:space="preserve">EMP0073</t>
  </si>
  <si>
    <t xml:space="preserve">EMP0074</t>
  </si>
  <si>
    <t xml:space="preserve">EMP0075</t>
  </si>
  <si>
    <t xml:space="preserve">Logistics Coordinator</t>
  </si>
  <si>
    <t xml:space="preserve">EMP0076</t>
  </si>
  <si>
    <t xml:space="preserve">EMP0077</t>
  </si>
  <si>
    <t xml:space="preserve">EMP0078</t>
  </si>
  <si>
    <t xml:space="preserve">EMP0079</t>
  </si>
  <si>
    <t xml:space="preserve">EMP0080</t>
  </si>
  <si>
    <t xml:space="preserve">EMP0081</t>
  </si>
  <si>
    <t xml:space="preserve">EMP0082</t>
  </si>
  <si>
    <t xml:space="preserve">EMP0083</t>
  </si>
  <si>
    <t xml:space="preserve">EMP0084</t>
  </si>
  <si>
    <t xml:space="preserve">EMP0085</t>
  </si>
  <si>
    <t xml:space="preserve">EMP0086</t>
  </si>
  <si>
    <t xml:space="preserve">EMP0087</t>
  </si>
  <si>
    <t xml:space="preserve">EMP0088</t>
  </si>
  <si>
    <t xml:space="preserve">EMP0089</t>
  </si>
  <si>
    <t xml:space="preserve">EMP0090</t>
  </si>
  <si>
    <t xml:space="preserve">EMP0091</t>
  </si>
  <si>
    <t xml:space="preserve">EMP0092</t>
  </si>
  <si>
    <t xml:space="preserve">EMP0093</t>
  </si>
  <si>
    <t xml:space="preserve">EMP0094</t>
  </si>
  <si>
    <t xml:space="preserve">EMP0095</t>
  </si>
  <si>
    <t xml:space="preserve">EMP0096</t>
  </si>
  <si>
    <t xml:space="preserve">EMP0097</t>
  </si>
  <si>
    <t xml:space="preserve">EMP0098</t>
  </si>
  <si>
    <t xml:space="preserve">EMP0099</t>
  </si>
  <si>
    <t xml:space="preserve">EMP0100</t>
  </si>
  <si>
    <t xml:space="preserve">Data Quality Checks</t>
  </si>
  <si>
    <t xml:space="preserve">Total rows</t>
  </si>
  <si>
    <t xml:space="preserve">Missing Employee_ID</t>
  </si>
  <si>
    <t xml:space="preserve">Missing Monthly_Salary</t>
  </si>
  <si>
    <t xml:space="preserve">Duplicate Employee_IDs</t>
  </si>
  <si>
    <t xml:space="preserve">Checked for missing values, duplicate IDs, and duplicate rows. This is a clean synthetic dataset — zero issues found.</t>
  </si>
  <si>
    <t xml:space="preserve">HR Employee Analytics — Business Question Answers</t>
  </si>
  <si>
    <t xml:space="preserve">All values below are calculated with live formulas referencing Cleaned_Data.</t>
  </si>
  <si>
    <t xml:space="preserve">#</t>
  </si>
  <si>
    <t xml:space="preserve">Answer</t>
  </si>
  <si>
    <t xml:space="preserve">1. How many employees are there?</t>
  </si>
  <si>
    <t xml:space="preserve">2. What is the average monthly salary?</t>
  </si>
  <si>
    <t xml:space="preserve">3. Which department has the most employees? (count shown; see PivotTables for name)</t>
  </si>
  <si>
    <t xml:space="preserve">4. Highest department average salary (value; see PivotTables for department name)</t>
  </si>
  <si>
    <t xml:space="preserve">5. What % of employees work overtime?</t>
  </si>
  <si>
    <t xml:space="preserve">6. Highest-attrition department (rate; see PivotTables for department name)</t>
  </si>
  <si>
    <t xml:space="preserve">7. What is the average job satisfaction score (1-5)?</t>
  </si>
  <si>
    <t xml:space="preserve">8. What is the average performance rating (1-5)?</t>
  </si>
  <si>
    <t xml:space="preserve">9. What % of employees have a high performance rating (4 or 5)?</t>
  </si>
  <si>
    <t xml:space="preserve">10. Overall attrition rate (% of employees who left)</t>
  </si>
  <si>
    <t xml:space="preserve">Department Helper Table (used for Q3, Q4, Q6)</t>
  </si>
  <si>
    <t xml:space="preserve">Employee Count</t>
  </si>
  <si>
    <t xml:space="preserve">Avg Salary</t>
  </si>
  <si>
    <t xml:space="preserve">Attrition Rate</t>
  </si>
  <si>
    <t xml:space="preserve">Pivot-Style Summary Tables</t>
  </si>
  <si>
    <t xml:space="preserve">Built with SUMIFS / COUNTIFS / AVERAGEIFS formulas referencing Cleaned_Data.</t>
  </si>
  <si>
    <t xml:space="preserve">1. Employee Count by Department</t>
  </si>
  <si>
    <t xml:space="preserve">2. Attrition by Department</t>
  </si>
  <si>
    <t xml:space="preserve">Left (Count)</t>
  </si>
  <si>
    <t xml:space="preserve">3. Average Salary by Department</t>
  </si>
  <si>
    <t xml:space="preserve">Avg Monthly Salary</t>
  </si>
  <si>
    <t xml:space="preserve">4. Average Salary by Performance Rating</t>
  </si>
  <si>
    <t xml:space="preserve">Performance Rating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</si>
  <si>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</si>
  <si>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</si>
  <si>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</si>
  <si>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</si>
  <si>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</si>
  <si>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5. Attrition by Overtime Status</t>
  </si>
  <si>
    <t xml:space="preserve">6. Attrition by Job Satisfaction Level</t>
  </si>
  <si>
    <t xml:space="preserve">Satisfaction (1-5)</t>
  </si>
  <si>
    <t xml:space="preserve">HR Employee Analytics — Dashboard</t>
  </si>
  <si>
    <t xml:space="preserve">Synthetic / demo data — for learning purposes only.</t>
  </si>
  <si>
    <t xml:space="preserve">Total Employees</t>
  </si>
  <si>
    <t xml:space="preserve">Avg Job Satisfaction</t>
  </si>
  <si>
    <t xml:space="preserve">Avg Performance Rating</t>
  </si>
  <si>
    <t xml:space="preserve">Overtime %</t>
  </si>
  <si>
    <t xml:space="preserve">Business Insights</t>
  </si>
  <si>
    <t xml:space="preserve">Based on this synthetic 100-employee dataset only. Patterns here reflect how the demo data was generated, not real-world HR causation. OBSERVATION = what the numbers show. POSSIBLE EXPLANATION = a plausible reason, not a proven cause.</t>
  </si>
  <si>
    <t xml:space="preserve">Headcount</t>
  </si>
  <si>
    <t xml:space="preserve">OBSERVATION</t>
  </si>
  <si>
    <t xml:space="preserve">Engineering is the largest department with 24 employees, followed by Sales (20). HR is the smallest at 12.</t>
  </si>
  <si>
    <t xml:space="preserve">POSSIBLE EXPLANATION</t>
  </si>
  <si>
    <t xml:space="preserve">Larger technical/production functions like Engineering often carry more headcount than support functions like HR in many organizations.</t>
  </si>
  <si>
    <t xml:space="preserve">Attrition — overall</t>
  </si>
  <si>
    <t xml:space="preserve">The overall attrition rate is 19% (19 of 100 employees marked as having left).</t>
  </si>
  <si>
    <t xml:space="preserve">N/A — this is a baseline figure, not yet a pattern to explain.</t>
  </si>
  <si>
    <t xml:space="preserve">Attrition — by department</t>
  </si>
  <si>
    <t xml:space="preserve">Marketing has the highest attrition rate at 35.7%, followed by Engineering at 25%. Finance has 0% attrition in this dataset.</t>
  </si>
  <si>
    <t xml:space="preserve">Departments with higher attrition may be worth investigating for workload, compensation, or engagement issues — but with only 12-24 employees per department, a handful of leavers can swing the percentage heavily, so this should not be read as a strong signal on its own.</t>
  </si>
  <si>
    <t xml:space="preserve">Salary — by department</t>
  </si>
  <si>
    <t xml:space="preserve">Engineering has the highest average monthly salary (81,527), while Operations has the lowest (53,207).</t>
  </si>
  <si>
    <t xml:space="preserve">Pay differences often track role scarcity and required skill level, which commonly runs higher in technical departments.</t>
  </si>
  <si>
    <t xml:space="preserve">Overtime and attrition</t>
  </si>
  <si>
    <t xml:space="preserve">Employees working overtime have a 24.3% attrition rate, compared to 15.9% for those who do not work overtime.</t>
  </si>
  <si>
    <t xml:space="preserve">This is directionally consistent with overtime contributing to burnout and turnover, but the gap (24.3% vs 15.9%) is based on small sample sizes (37 vs 63 employees) and should be treated as a mild signal, not proof.</t>
  </si>
  <si>
    <t xml:space="preserve">Satisfaction and attrition</t>
  </si>
  <si>
    <t xml:space="preserve">Attrition is highest at the lowest satisfaction level (1 = 27.3%) and near-zero at the highest satisfaction level (5 = 0%), but the middle levels do not fall in a perfectly straight line (level 3 is 19.1%, level 4 is 20%).</t>
  </si>
  <si>
    <t xml:space="preserve">The overall direction (lower satisfaction, higher attrition) fits common HR expectations, but the noisy middle values are a reminder that this is synthetic data with intentional randomness, not a clean real-world trend.</t>
  </si>
  <si>
    <t xml:space="preserve">Performance and pay</t>
  </si>
  <si>
    <t xml:space="preserve">Average salary generally rises with performance rating, from 66,320 at rating 1 up to 94,720 at rating 5 — except rating 2 (60,490) is slightly lower than rating 1's average.</t>
  </si>
  <si>
    <t xml:space="preserve">The general upward pattern suggests pay is loosely linked to performance in this dataset, but the rating-1-vs-2 dip is most likely just small-sample noise (only 9 and 31 employees respectively) rather than a real effect.</t>
  </si>
  <si>
    <t xml:space="preserve">Overtime prevalence</t>
  </si>
  <si>
    <t xml:space="preserve">37% of employees work overtime.</t>
  </si>
  <si>
    <t xml:space="preserve">N/A — a standalone figure worth tracking over time rather than explaining now.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</si>
</sst>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"/>
    <numFmt numFmtId="167" formatCode="#,##0"/>
    <numFmt numFmtId="168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4E78"/>
      <name val="Arial"/>
      <family val="0"/>
      <charset val="1"/>
    </font>
    <font>
      <b val="true"/>
      <sz val="10"/>
      <color rgb="FF806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9F9F9"/>
      </patternFill>
    </fill>
    <fill>
      <patternFill patternType="solid">
        <fgColor rgb="FFFFF6DE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7F7F7F"/>
      <rgbColor rgb="FF9999FF"/>
      <rgbColor rgb="FF993366"/>
      <rgbColor rgb="FFFFF6DE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Employees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PivotTables!$B$7:$B$12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PivotTables!$C$7:$C$12</c:f>
              <c:numCache>
                <c:formatCode>General</c:formatCode>
                <c:ptCount val="6"/>
                <c:pt idx="0">
                  <c:v>24</c:v>
                </c:pt>
                <c:pt idx="1">
                  <c:v>14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20</c:v>
                </c:pt>
              </c:numCache>
            </c:numRef>
          </c:val>
        </c:ser>
        <c:gapWidth val="150"/>
        <c:overlap val="0"/>
        <c:axId val="38235770"/>
        <c:axId val="28335427"/>
      </c:barChart>
      <c:catAx>
        <c:axId val="382357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35427"/>
        <c:crosses val="autoZero"/>
        <c:auto val="1"/>
        <c:lblAlgn val="ctr"/>
        <c:lblOffset val="100"/>
        <c:noMultiLvlLbl val="0"/>
      </c:catAx>
      <c:valAx>
        <c:axId val="283354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357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PivotTables!$B$17:$B$22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PivotTables!$D$17:$D$22</c:f>
              <c:numCache>
                <c:formatCode>0.0%</c:formatCode>
                <c:ptCount val="6"/>
                <c:pt idx="0">
                  <c:v>0.25</c:v>
                </c:pt>
                <c:pt idx="1">
                  <c:v>0</c:v>
                </c:pt>
                <c:pt idx="2">
                  <c:v>0.1667</c:v>
                </c:pt>
                <c:pt idx="3">
                  <c:v>0.3571</c:v>
                </c:pt>
                <c:pt idx="4">
                  <c:v>0.125</c:v>
                </c:pt>
                <c:pt idx="5">
                  <c:v>0.2</c:v>
                </c:pt>
              </c:numCache>
            </c:numRef>
          </c:val>
        </c:ser>
        <c:gapWidth val="150"/>
        <c:overlap val="0"/>
        <c:axId val="27019387"/>
        <c:axId val="39251418"/>
      </c:barChart>
      <c:catAx>
        <c:axId val="270193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51418"/>
        <c:crosses val="autoZero"/>
        <c:auto val="1"/>
        <c:lblAlgn val="ctr"/>
        <c:lblOffset val="100"/>
        <c:noMultiLvlLbl val="0"/>
      </c:catAx>
      <c:valAx>
        <c:axId val="39251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193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Salary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PivotTables!$B$27:$B$32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PivotTables!$C$27:$C$32</c:f>
              <c:numCache>
                <c:formatCode>General</c:formatCode>
                <c:ptCount val="6"/>
                <c:pt idx="0">
                  <c:v>81527</c:v>
                </c:pt>
                <c:pt idx="1">
                  <c:v>61099</c:v>
                </c:pt>
                <c:pt idx="2">
                  <c:v>54089</c:v>
                </c:pt>
                <c:pt idx="3">
                  <c:v>58822</c:v>
                </c:pt>
                <c:pt idx="4">
                  <c:v>53207</c:v>
                </c:pt>
                <c:pt idx="5">
                  <c:v>58062</c:v>
                </c:pt>
              </c:numCache>
            </c:numRef>
          </c:val>
        </c:ser>
        <c:gapWidth val="150"/>
        <c:overlap val="0"/>
        <c:axId val="33256230"/>
        <c:axId val="99663165"/>
      </c:barChart>
      <c:catAx>
        <c:axId val="332562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63165"/>
        <c:crosses val="autoZero"/>
        <c:auto val="1"/>
        <c:lblAlgn val="ctr"/>
        <c:lblOffset val="100"/>
        <c:noMultiLvlLbl val="0"/>
      </c:catAx>
      <c:valAx>
        <c:axId val="99663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Salary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562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Rate: Overtime vs No Overtime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PivotTables!$B$46:$B$47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PivotTables!$E$46:$E$47</c:f>
              <c:numCache>
                <c:formatCode>0.0%</c:formatCode>
                <c:ptCount val="2"/>
                <c:pt idx="0">
                  <c:v>0.2432</c:v>
                </c:pt>
                <c:pt idx="1">
                  <c:v>0.1587</c:v>
                </c:pt>
              </c:numCache>
            </c:numRef>
          </c:val>
        </c:ser>
        <c:gapWidth val="150"/>
        <c:overlap val="0"/>
        <c:axId val="58020657"/>
        <c:axId val="72648689"/>
      </c:barChart>
      <c:catAx>
        <c:axId val="580206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48689"/>
        <c:crosses val="autoZero"/>
        <c:auto val="1"/>
        <c:lblAlgn val="ctr"/>
        <c:lblOffset val="100"/>
        <c:noMultiLvlLbl val="0"/>
      </c:catAx>
      <c:valAx>
        <c:axId val="72648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20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Satisfaction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PivotTables!$B$52:$B$56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PivotTables!$E$52:$E$56</c:f>
              <c:numCache>
                <c:formatCode>0.0%</c:formatCode>
                <c:ptCount val="5"/>
                <c:pt idx="0">
                  <c:v>0.2727</c:v>
                </c:pt>
                <c:pt idx="1">
                  <c:v>0.1667</c:v>
                </c:pt>
                <c:pt idx="2">
                  <c:v>0.1905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5377849"/>
        <c:axId val="4383511"/>
      </c:barChart>
      <c:catAx>
        <c:axId val="653778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3511"/>
        <c:crosses val="autoZero"/>
        <c:auto val="1"/>
        <c:lblAlgn val="ctr"/>
        <c:lblOffset val="100"/>
        <c:noMultiLvlLbl val="0"/>
      </c:catAx>
      <c:valAx>
        <c:axId val="4383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77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101160</xdr:rowOff>
    </xdr:from>
    <xdr:to>
      <xdr:col>5</xdr:col>
      <xdr:colOff>888480</xdr:colOff>
      <xdr:row>23</xdr:row>
      <xdr:rowOff>122760</xdr:rowOff>
    </xdr:to>
    <xdr:graphicFrame>
      <xdr:nvGraphicFramePr>
        <xdr:cNvPr id="0" name="Chart 1"/>
        <xdr:cNvGraphicFramePr/>
      </xdr:nvGraphicFramePr>
      <xdr:xfrm>
        <a:off x="141120" y="17107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101160</xdr:rowOff>
    </xdr:from>
    <xdr:to>
      <xdr:col>13</xdr:col>
      <xdr:colOff>65520</xdr:colOff>
      <xdr:row>23</xdr:row>
      <xdr:rowOff>122760</xdr:rowOff>
    </xdr:to>
    <xdr:graphicFrame>
      <xdr:nvGraphicFramePr>
        <xdr:cNvPr id="1" name="Chart 2"/>
        <xdr:cNvGraphicFramePr/>
      </xdr:nvGraphicFramePr>
      <xdr:xfrm>
        <a:off x="6907680" y="17107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100800</xdr:rowOff>
    </xdr:from>
    <xdr:to>
      <xdr:col>5</xdr:col>
      <xdr:colOff>888480</xdr:colOff>
      <xdr:row>40</xdr:row>
      <xdr:rowOff>122760</xdr:rowOff>
    </xdr:to>
    <xdr:graphicFrame>
      <xdr:nvGraphicFramePr>
        <xdr:cNvPr id="2" name="Chart 3"/>
        <xdr:cNvGraphicFramePr/>
      </xdr:nvGraphicFramePr>
      <xdr:xfrm>
        <a:off x="141120" y="4948920"/>
        <a:ext cx="539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100800</xdr:rowOff>
    </xdr:from>
    <xdr:to>
      <xdr:col>13</xdr:col>
      <xdr:colOff>65520</xdr:colOff>
      <xdr:row>40</xdr:row>
      <xdr:rowOff>122760</xdr:rowOff>
    </xdr:to>
    <xdr:graphicFrame>
      <xdr:nvGraphicFramePr>
        <xdr:cNvPr id="3" name="Chart 4"/>
        <xdr:cNvGraphicFramePr/>
      </xdr:nvGraphicFramePr>
      <xdr:xfrm>
        <a:off x="6907680" y="4948920"/>
        <a:ext cx="539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42</xdr:row>
      <xdr:rowOff>100800</xdr:rowOff>
    </xdr:from>
    <xdr:to>
      <xdr:col>5</xdr:col>
      <xdr:colOff>888480</xdr:colOff>
      <xdr:row>57</xdr:row>
      <xdr:rowOff>122760</xdr:rowOff>
    </xdr:to>
    <xdr:graphicFrame>
      <xdr:nvGraphicFramePr>
        <xdr:cNvPr id="4" name="Chart 5"/>
        <xdr:cNvGraphicFramePr/>
      </xdr:nvGraphicFramePr>
      <xdr:xfrm>
        <a:off x="141120" y="8187480"/>
        <a:ext cx="539928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HRData" displayName="tblHRData" ref="A1:N101" headerRowCount="1" totalsRowCount="0" totalsRowShown="0">
  <autoFilter ref="A1:N101"/>
  <tableColumns count="14">
    <tableColumn id="1" name="Employee_ID"/>
    <tableColumn id="2" name="Age"/>
    <tableColumn id="3" name="Gender"/>
    <tableColumn id="4" name="Department"/>
    <tableColumn id="5" name="Job_Role"/>
    <tableColumn id="6" name="Education"/>
    <tableColumn id="7" name="Years_of_Experience"/>
    <tableColumn id="8" name="Monthly_Salary"/>
    <tableColumn id="9" name="Performance_Rating"/>
    <tableColumn id="10" name="Job_Satisfaction"/>
    <tableColumn id="11" name="Overtime"/>
    <tableColumn id="12" name="Attendance_Percentage"/>
    <tableColumn id="13" name="Years_at_Company"/>
    <tableColumn id="14" name="Attrition"/>
  </tableColumns>
</table>
</file>

<file path=xl/tables/table2.xml><?xml version="1.0" encoding="utf-8"?>
<table xmlns="http://schemas.openxmlformats.org/spreadsheetml/2006/main" id="2" name="tblHRDataClean" displayName="tblHRDataClean" ref="A1:N101" headerRowCount="1" totalsRowCount="0" totalsRowShown="0">
  <autoFilter ref="A1:N101"/>
  <tableColumns count="14">
    <tableColumn id="1" name="Employee_ID"/>
    <tableColumn id="2" name="Age"/>
    <tableColumn id="3" name="Gender"/>
    <tableColumn id="4" name="Department"/>
    <tableColumn id="5" name="Job_Role"/>
    <tableColumn id="6" name="Education"/>
    <tableColumn id="7" name="Years_of_Experience"/>
    <tableColumn id="8" name="Monthly_Salary"/>
    <tableColumn id="9" name="Performance_Rating"/>
    <tableColumn id="10" name="Job_Satisfaction"/>
    <tableColumn id="11" name="Overtime"/>
    <tableColumn id="12" name="Attendance_Percentage"/>
    <tableColumn id="13" name="Years_at_Company"/>
    <tableColumn id="14" name="Attri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s">
        <v>14</v>
      </c>
      <c r="B2" s="3" t="n">
        <v>36</v>
      </c>
      <c r="C2" s="3" t="s">
        <v>15</v>
      </c>
      <c r="D2" s="3" t="s">
        <v>16</v>
      </c>
      <c r="E2" s="3" t="s">
        <v>17</v>
      </c>
      <c r="F2" s="3" t="s">
        <v>18</v>
      </c>
      <c r="G2" s="3" t="n">
        <v>5</v>
      </c>
      <c r="H2" s="3" t="n">
        <v>58235</v>
      </c>
      <c r="I2" s="3" t="n">
        <v>3</v>
      </c>
      <c r="J2" s="3" t="n">
        <v>2</v>
      </c>
      <c r="K2" s="3" t="s">
        <v>19</v>
      </c>
      <c r="L2" s="3" t="n">
        <v>95.9</v>
      </c>
      <c r="M2" s="3" t="n">
        <v>2</v>
      </c>
      <c r="N2" s="3" t="s">
        <v>19</v>
      </c>
    </row>
    <row r="3" customFormat="false" ht="15" hidden="false" customHeight="true" outlineLevel="0" collapsed="false">
      <c r="A3" s="3" t="s">
        <v>20</v>
      </c>
      <c r="B3" s="3" t="n">
        <v>43</v>
      </c>
      <c r="C3" s="3" t="s">
        <v>21</v>
      </c>
      <c r="D3" s="3" t="s">
        <v>22</v>
      </c>
      <c r="E3" s="3" t="s">
        <v>23</v>
      </c>
      <c r="F3" s="3" t="s">
        <v>24</v>
      </c>
      <c r="G3" s="3" t="n">
        <v>14</v>
      </c>
      <c r="H3" s="3" t="n">
        <v>54400</v>
      </c>
      <c r="I3" s="3" t="n">
        <v>3</v>
      </c>
      <c r="J3" s="3" t="n">
        <v>2</v>
      </c>
      <c r="K3" s="3" t="s">
        <v>19</v>
      </c>
      <c r="L3" s="3" t="n">
        <v>91.2</v>
      </c>
      <c r="M3" s="3" t="n">
        <v>8</v>
      </c>
      <c r="N3" s="3" t="s">
        <v>19</v>
      </c>
    </row>
    <row r="4" customFormat="false" ht="15" hidden="false" customHeight="true" outlineLevel="0" collapsed="false">
      <c r="A4" s="3" t="s">
        <v>25</v>
      </c>
      <c r="B4" s="3" t="n">
        <v>31</v>
      </c>
      <c r="C4" s="3" t="s">
        <v>21</v>
      </c>
      <c r="D4" s="3" t="s">
        <v>26</v>
      </c>
      <c r="E4" s="3" t="s">
        <v>27</v>
      </c>
      <c r="F4" s="3" t="s">
        <v>28</v>
      </c>
      <c r="G4" s="3" t="n">
        <v>7</v>
      </c>
      <c r="H4" s="3" t="n">
        <v>62751</v>
      </c>
      <c r="I4" s="3" t="n">
        <v>2</v>
      </c>
      <c r="J4" s="3" t="n">
        <v>3</v>
      </c>
      <c r="K4" s="3" t="s">
        <v>29</v>
      </c>
      <c r="L4" s="3" t="n">
        <v>91.4</v>
      </c>
      <c r="M4" s="3" t="n">
        <v>2</v>
      </c>
      <c r="N4" s="3" t="s">
        <v>19</v>
      </c>
    </row>
    <row r="5" customFormat="false" ht="15" hidden="false" customHeight="true" outlineLevel="0" collapsed="false">
      <c r="A5" s="3" t="s">
        <v>30</v>
      </c>
      <c r="B5" s="3" t="n">
        <v>27</v>
      </c>
      <c r="C5" s="3" t="s">
        <v>21</v>
      </c>
      <c r="D5" s="3" t="s">
        <v>31</v>
      </c>
      <c r="E5" s="3" t="s">
        <v>32</v>
      </c>
      <c r="F5" s="3" t="s">
        <v>28</v>
      </c>
      <c r="G5" s="3" t="n">
        <v>5</v>
      </c>
      <c r="H5" s="3" t="n">
        <v>49837</v>
      </c>
      <c r="I5" s="3" t="n">
        <v>3</v>
      </c>
      <c r="J5" s="3" t="n">
        <v>3</v>
      </c>
      <c r="K5" s="3" t="s">
        <v>29</v>
      </c>
      <c r="L5" s="3" t="n">
        <v>96.4</v>
      </c>
      <c r="M5" s="3" t="n">
        <v>3</v>
      </c>
      <c r="N5" s="3" t="s">
        <v>29</v>
      </c>
    </row>
    <row r="6" customFormat="false" ht="15" hidden="false" customHeight="true" outlineLevel="0" collapsed="false">
      <c r="A6" s="3" t="s">
        <v>33</v>
      </c>
      <c r="B6" s="3" t="n">
        <v>39</v>
      </c>
      <c r="C6" s="3" t="s">
        <v>15</v>
      </c>
      <c r="D6" s="3" t="s">
        <v>16</v>
      </c>
      <c r="E6" s="3" t="s">
        <v>34</v>
      </c>
      <c r="F6" s="3" t="s">
        <v>28</v>
      </c>
      <c r="G6" s="3" t="n">
        <v>11</v>
      </c>
      <c r="H6" s="3" t="n">
        <v>62344</v>
      </c>
      <c r="I6" s="3" t="n">
        <v>3</v>
      </c>
      <c r="J6" s="3" t="n">
        <v>4</v>
      </c>
      <c r="K6" s="3" t="s">
        <v>19</v>
      </c>
      <c r="L6" s="3" t="n">
        <v>96.8</v>
      </c>
      <c r="M6" s="3" t="n">
        <v>4</v>
      </c>
      <c r="N6" s="3" t="s">
        <v>19</v>
      </c>
    </row>
    <row r="7" customFormat="false" ht="15" hidden="false" customHeight="true" outlineLevel="0" collapsed="false">
      <c r="A7" s="3" t="s">
        <v>35</v>
      </c>
      <c r="B7" s="3" t="n">
        <v>31</v>
      </c>
      <c r="C7" s="3" t="s">
        <v>21</v>
      </c>
      <c r="D7" s="3" t="s">
        <v>22</v>
      </c>
      <c r="E7" s="3" t="s">
        <v>36</v>
      </c>
      <c r="F7" s="3" t="s">
        <v>24</v>
      </c>
      <c r="G7" s="3" t="n">
        <v>6</v>
      </c>
      <c r="H7" s="3" t="n">
        <v>45550</v>
      </c>
      <c r="I7" s="3" t="n">
        <v>3</v>
      </c>
      <c r="J7" s="3" t="n">
        <v>3</v>
      </c>
      <c r="K7" s="3" t="s">
        <v>19</v>
      </c>
      <c r="L7" s="3" t="n">
        <v>86.3</v>
      </c>
      <c r="M7" s="3" t="n">
        <v>2</v>
      </c>
      <c r="N7" s="3" t="s">
        <v>19</v>
      </c>
    </row>
    <row r="8" customFormat="false" ht="15" hidden="false" customHeight="true" outlineLevel="0" collapsed="false">
      <c r="A8" s="3" t="s">
        <v>37</v>
      </c>
      <c r="B8" s="3" t="n">
        <v>37</v>
      </c>
      <c r="C8" s="3" t="s">
        <v>15</v>
      </c>
      <c r="D8" s="3" t="s">
        <v>22</v>
      </c>
      <c r="E8" s="3" t="s">
        <v>38</v>
      </c>
      <c r="F8" s="3" t="s">
        <v>28</v>
      </c>
      <c r="G8" s="3" t="n">
        <v>10</v>
      </c>
      <c r="H8" s="3" t="n">
        <v>65427</v>
      </c>
      <c r="I8" s="3" t="n">
        <v>2</v>
      </c>
      <c r="J8" s="3" t="n">
        <v>2</v>
      </c>
      <c r="K8" s="3" t="s">
        <v>29</v>
      </c>
      <c r="L8" s="3" t="n">
        <v>86</v>
      </c>
      <c r="M8" s="3" t="n">
        <v>4</v>
      </c>
      <c r="N8" s="3" t="s">
        <v>19</v>
      </c>
    </row>
    <row r="9" customFormat="false" ht="15" hidden="false" customHeight="true" outlineLevel="0" collapsed="false">
      <c r="A9" s="3" t="s">
        <v>39</v>
      </c>
      <c r="B9" s="3" t="n">
        <v>30</v>
      </c>
      <c r="C9" s="3" t="s">
        <v>21</v>
      </c>
      <c r="D9" s="3" t="s">
        <v>16</v>
      </c>
      <c r="E9" s="3" t="s">
        <v>40</v>
      </c>
      <c r="F9" s="3" t="s">
        <v>24</v>
      </c>
      <c r="G9" s="3" t="n">
        <v>5</v>
      </c>
      <c r="H9" s="3" t="n">
        <v>74306</v>
      </c>
      <c r="I9" s="3" t="n">
        <v>3</v>
      </c>
      <c r="J9" s="3" t="n">
        <v>1</v>
      </c>
      <c r="K9" s="3" t="s">
        <v>29</v>
      </c>
      <c r="L9" s="3" t="n">
        <v>85.4</v>
      </c>
      <c r="M9" s="3" t="n">
        <v>2</v>
      </c>
      <c r="N9" s="3" t="s">
        <v>19</v>
      </c>
    </row>
    <row r="10" customFormat="false" ht="15" hidden="false" customHeight="true" outlineLevel="0" collapsed="false">
      <c r="A10" s="3" t="s">
        <v>41</v>
      </c>
      <c r="B10" s="3" t="n">
        <v>37</v>
      </c>
      <c r="C10" s="3" t="s">
        <v>21</v>
      </c>
      <c r="D10" s="3" t="s">
        <v>42</v>
      </c>
      <c r="E10" s="3" t="s">
        <v>43</v>
      </c>
      <c r="F10" s="3" t="s">
        <v>28</v>
      </c>
      <c r="G10" s="3" t="n">
        <v>6</v>
      </c>
      <c r="H10" s="3" t="n">
        <v>48578</v>
      </c>
      <c r="I10" s="3" t="n">
        <v>2</v>
      </c>
      <c r="J10" s="3" t="n">
        <v>2</v>
      </c>
      <c r="K10" s="3" t="s">
        <v>19</v>
      </c>
      <c r="L10" s="3" t="n">
        <v>83.4</v>
      </c>
      <c r="M10" s="3" t="n">
        <v>1</v>
      </c>
      <c r="N10" s="3" t="s">
        <v>19</v>
      </c>
    </row>
    <row r="11" customFormat="false" ht="15" hidden="false" customHeight="true" outlineLevel="0" collapsed="false">
      <c r="A11" s="3" t="s">
        <v>44</v>
      </c>
      <c r="B11" s="3" t="n">
        <v>35</v>
      </c>
      <c r="C11" s="3" t="s">
        <v>15</v>
      </c>
      <c r="D11" s="3" t="s">
        <v>31</v>
      </c>
      <c r="E11" s="3" t="s">
        <v>32</v>
      </c>
      <c r="F11" s="3" t="s">
        <v>28</v>
      </c>
      <c r="G11" s="3" t="n">
        <v>6</v>
      </c>
      <c r="H11" s="3" t="n">
        <v>53487</v>
      </c>
      <c r="I11" s="3" t="n">
        <v>4</v>
      </c>
      <c r="J11" s="3" t="n">
        <v>2</v>
      </c>
      <c r="K11" s="3" t="s">
        <v>29</v>
      </c>
      <c r="L11" s="3" t="n">
        <v>92.9</v>
      </c>
      <c r="M11" s="3" t="n">
        <v>3</v>
      </c>
      <c r="N11" s="3" t="s">
        <v>29</v>
      </c>
    </row>
    <row r="12" customFormat="false" ht="15" hidden="false" customHeight="true" outlineLevel="0" collapsed="false">
      <c r="A12" s="3" t="s">
        <v>45</v>
      </c>
      <c r="B12" s="3" t="n">
        <v>44</v>
      </c>
      <c r="C12" s="3" t="s">
        <v>21</v>
      </c>
      <c r="D12" s="3" t="s">
        <v>26</v>
      </c>
      <c r="E12" s="3" t="s">
        <v>46</v>
      </c>
      <c r="F12" s="3" t="s">
        <v>24</v>
      </c>
      <c r="G12" s="3" t="n">
        <v>16</v>
      </c>
      <c r="H12" s="3" t="n">
        <v>57840</v>
      </c>
      <c r="I12" s="3" t="n">
        <v>2</v>
      </c>
      <c r="J12" s="3" t="n">
        <v>3</v>
      </c>
      <c r="K12" s="3" t="s">
        <v>29</v>
      </c>
      <c r="L12" s="3" t="n">
        <v>84.6</v>
      </c>
      <c r="M12" s="3" t="n">
        <v>6</v>
      </c>
      <c r="N12" s="3" t="s">
        <v>19</v>
      </c>
    </row>
    <row r="13" customFormat="false" ht="15" hidden="false" customHeight="true" outlineLevel="0" collapsed="false">
      <c r="A13" s="3" t="s">
        <v>47</v>
      </c>
      <c r="B13" s="3" t="n">
        <v>36</v>
      </c>
      <c r="C13" s="3" t="s">
        <v>21</v>
      </c>
      <c r="D13" s="3" t="s">
        <v>48</v>
      </c>
      <c r="E13" s="3" t="s">
        <v>49</v>
      </c>
      <c r="F13" s="3" t="s">
        <v>18</v>
      </c>
      <c r="G13" s="3" t="n">
        <v>11</v>
      </c>
      <c r="H13" s="3" t="n">
        <v>66371</v>
      </c>
      <c r="I13" s="3" t="n">
        <v>3</v>
      </c>
      <c r="J13" s="3" t="n">
        <v>2</v>
      </c>
      <c r="K13" s="3" t="s">
        <v>19</v>
      </c>
      <c r="L13" s="3" t="n">
        <v>88.9</v>
      </c>
      <c r="M13" s="3" t="n">
        <v>3</v>
      </c>
      <c r="N13" s="3" t="s">
        <v>29</v>
      </c>
    </row>
    <row r="14" customFormat="false" ht="15" hidden="false" customHeight="true" outlineLevel="0" collapsed="false">
      <c r="A14" s="3" t="s">
        <v>50</v>
      </c>
      <c r="B14" s="3" t="n">
        <v>42</v>
      </c>
      <c r="C14" s="3" t="s">
        <v>21</v>
      </c>
      <c r="D14" s="3" t="s">
        <v>22</v>
      </c>
      <c r="E14" s="3" t="s">
        <v>23</v>
      </c>
      <c r="F14" s="3" t="s">
        <v>28</v>
      </c>
      <c r="G14" s="3" t="n">
        <v>13</v>
      </c>
      <c r="H14" s="3" t="n">
        <v>60771</v>
      </c>
      <c r="I14" s="3" t="n">
        <v>3</v>
      </c>
      <c r="J14" s="3" t="n">
        <v>4</v>
      </c>
      <c r="K14" s="3" t="s">
        <v>19</v>
      </c>
      <c r="L14" s="3" t="n">
        <v>86.1</v>
      </c>
      <c r="M14" s="3" t="n">
        <v>6</v>
      </c>
      <c r="N14" s="3" t="s">
        <v>29</v>
      </c>
    </row>
    <row r="15" customFormat="false" ht="15" hidden="false" customHeight="true" outlineLevel="0" collapsed="false">
      <c r="A15" s="3" t="s">
        <v>51</v>
      </c>
      <c r="B15" s="3" t="n">
        <v>28</v>
      </c>
      <c r="C15" s="3" t="s">
        <v>15</v>
      </c>
      <c r="D15" s="3" t="s">
        <v>31</v>
      </c>
      <c r="E15" s="3" t="s">
        <v>52</v>
      </c>
      <c r="F15" s="3" t="s">
        <v>24</v>
      </c>
      <c r="G15" s="3" t="n">
        <v>7</v>
      </c>
      <c r="H15" s="3" t="n">
        <v>55839</v>
      </c>
      <c r="I15" s="3" t="n">
        <v>3</v>
      </c>
      <c r="J15" s="3" t="n">
        <v>3</v>
      </c>
      <c r="K15" s="3" t="s">
        <v>19</v>
      </c>
      <c r="L15" s="3" t="n">
        <v>94.2</v>
      </c>
      <c r="M15" s="3" t="n">
        <v>5</v>
      </c>
      <c r="N15" s="3" t="s">
        <v>29</v>
      </c>
    </row>
    <row r="16" customFormat="false" ht="15" hidden="false" customHeight="true" outlineLevel="0" collapsed="false">
      <c r="A16" s="3" t="s">
        <v>53</v>
      </c>
      <c r="B16" s="3" t="n">
        <v>24</v>
      </c>
      <c r="C16" s="3" t="s">
        <v>15</v>
      </c>
      <c r="D16" s="3" t="s">
        <v>31</v>
      </c>
      <c r="E16" s="3" t="s">
        <v>32</v>
      </c>
      <c r="F16" s="3" t="s">
        <v>54</v>
      </c>
      <c r="G16" s="3" t="n">
        <v>0</v>
      </c>
      <c r="H16" s="3" t="n">
        <v>53224</v>
      </c>
      <c r="I16" s="3" t="n">
        <v>3</v>
      </c>
      <c r="J16" s="3" t="n">
        <v>2</v>
      </c>
      <c r="K16" s="3" t="s">
        <v>19</v>
      </c>
      <c r="L16" s="3" t="n">
        <v>94.1</v>
      </c>
      <c r="M16" s="3" t="n">
        <v>0</v>
      </c>
      <c r="N16" s="3" t="s">
        <v>19</v>
      </c>
    </row>
    <row r="17" customFormat="false" ht="15" hidden="false" customHeight="true" outlineLevel="0" collapsed="false">
      <c r="A17" s="3" t="s">
        <v>55</v>
      </c>
      <c r="B17" s="3" t="n">
        <v>35</v>
      </c>
      <c r="C17" s="3" t="s">
        <v>21</v>
      </c>
      <c r="D17" s="3" t="s">
        <v>26</v>
      </c>
      <c r="E17" s="3" t="s">
        <v>27</v>
      </c>
      <c r="F17" s="3" t="s">
        <v>28</v>
      </c>
      <c r="G17" s="3" t="n">
        <v>4</v>
      </c>
      <c r="H17" s="3" t="n">
        <v>60567</v>
      </c>
      <c r="I17" s="3" t="n">
        <v>4</v>
      </c>
      <c r="J17" s="3" t="n">
        <v>2</v>
      </c>
      <c r="K17" s="3" t="s">
        <v>19</v>
      </c>
      <c r="L17" s="3" t="n">
        <v>95.2</v>
      </c>
      <c r="M17" s="3" t="n">
        <v>1</v>
      </c>
      <c r="N17" s="3" t="s">
        <v>19</v>
      </c>
    </row>
    <row r="18" customFormat="false" ht="15" hidden="false" customHeight="true" outlineLevel="0" collapsed="false">
      <c r="A18" s="3" t="s">
        <v>56</v>
      </c>
      <c r="B18" s="3" t="n">
        <v>33</v>
      </c>
      <c r="C18" s="3" t="s">
        <v>21</v>
      </c>
      <c r="D18" s="3" t="s">
        <v>48</v>
      </c>
      <c r="E18" s="3" t="s">
        <v>57</v>
      </c>
      <c r="F18" s="3" t="s">
        <v>28</v>
      </c>
      <c r="G18" s="3" t="n">
        <v>6</v>
      </c>
      <c r="H18" s="3" t="n">
        <v>89705</v>
      </c>
      <c r="I18" s="3" t="n">
        <v>2</v>
      </c>
      <c r="J18" s="3" t="n">
        <v>1</v>
      </c>
      <c r="K18" s="3" t="s">
        <v>29</v>
      </c>
      <c r="L18" s="3" t="n">
        <v>90.3</v>
      </c>
      <c r="M18" s="3" t="n">
        <v>0</v>
      </c>
      <c r="N18" s="3" t="s">
        <v>19</v>
      </c>
    </row>
    <row r="19" customFormat="false" ht="15" hidden="false" customHeight="true" outlineLevel="0" collapsed="false">
      <c r="A19" s="3" t="s">
        <v>58</v>
      </c>
      <c r="B19" s="3" t="n">
        <v>23</v>
      </c>
      <c r="C19" s="3" t="s">
        <v>21</v>
      </c>
      <c r="D19" s="3" t="s">
        <v>42</v>
      </c>
      <c r="E19" s="3" t="s">
        <v>43</v>
      </c>
      <c r="F19" s="3" t="s">
        <v>24</v>
      </c>
      <c r="G19" s="3" t="n">
        <v>1</v>
      </c>
      <c r="H19" s="3" t="n">
        <v>48911</v>
      </c>
      <c r="I19" s="3" t="n">
        <v>3</v>
      </c>
      <c r="J19" s="3" t="n">
        <v>4</v>
      </c>
      <c r="K19" s="3" t="s">
        <v>29</v>
      </c>
      <c r="L19" s="3" t="n">
        <v>88.5</v>
      </c>
      <c r="M19" s="3" t="n">
        <v>0</v>
      </c>
      <c r="N19" s="3" t="s">
        <v>29</v>
      </c>
    </row>
    <row r="20" customFormat="false" ht="15" hidden="false" customHeight="true" outlineLevel="0" collapsed="false">
      <c r="A20" s="3" t="s">
        <v>59</v>
      </c>
      <c r="B20" s="3" t="n">
        <v>35</v>
      </c>
      <c r="C20" s="3" t="s">
        <v>21</v>
      </c>
      <c r="D20" s="3" t="s">
        <v>26</v>
      </c>
      <c r="E20" s="3" t="s">
        <v>27</v>
      </c>
      <c r="F20" s="3" t="s">
        <v>18</v>
      </c>
      <c r="G20" s="3" t="n">
        <v>8</v>
      </c>
      <c r="H20" s="3" t="n">
        <v>62287</v>
      </c>
      <c r="I20" s="3" t="n">
        <v>2</v>
      </c>
      <c r="J20" s="3" t="n">
        <v>1</v>
      </c>
      <c r="K20" s="3" t="s">
        <v>19</v>
      </c>
      <c r="L20" s="3" t="n">
        <v>93.6</v>
      </c>
      <c r="M20" s="3" t="n">
        <v>7</v>
      </c>
      <c r="N20" s="3" t="s">
        <v>29</v>
      </c>
    </row>
    <row r="21" customFormat="false" ht="15" hidden="false" customHeight="true" outlineLevel="0" collapsed="false">
      <c r="A21" s="3" t="s">
        <v>60</v>
      </c>
      <c r="B21" s="3" t="n">
        <v>28</v>
      </c>
      <c r="C21" s="3" t="s">
        <v>21</v>
      </c>
      <c r="D21" s="3" t="s">
        <v>22</v>
      </c>
      <c r="E21" s="3" t="s">
        <v>38</v>
      </c>
      <c r="F21" s="3" t="s">
        <v>28</v>
      </c>
      <c r="G21" s="3" t="n">
        <v>2</v>
      </c>
      <c r="H21" s="3" t="n">
        <v>52892</v>
      </c>
      <c r="I21" s="3" t="n">
        <v>2</v>
      </c>
      <c r="J21" s="3" t="n">
        <v>1</v>
      </c>
      <c r="K21" s="3" t="s">
        <v>19</v>
      </c>
      <c r="L21" s="3" t="n">
        <v>100</v>
      </c>
      <c r="M21" s="3" t="n">
        <v>0</v>
      </c>
      <c r="N21" s="3" t="s">
        <v>29</v>
      </c>
    </row>
    <row r="22" customFormat="false" ht="15" hidden="false" customHeight="true" outlineLevel="0" collapsed="false">
      <c r="A22" s="3" t="s">
        <v>61</v>
      </c>
      <c r="B22" s="3" t="n">
        <v>25</v>
      </c>
      <c r="C22" s="3" t="s">
        <v>21</v>
      </c>
      <c r="D22" s="3" t="s">
        <v>26</v>
      </c>
      <c r="E22" s="3" t="s">
        <v>62</v>
      </c>
      <c r="F22" s="3" t="s">
        <v>24</v>
      </c>
      <c r="G22" s="3" t="n">
        <v>4</v>
      </c>
      <c r="H22" s="3" t="n">
        <v>58152</v>
      </c>
      <c r="I22" s="3" t="n">
        <v>2</v>
      </c>
      <c r="J22" s="3" t="n">
        <v>3</v>
      </c>
      <c r="K22" s="3" t="s">
        <v>29</v>
      </c>
      <c r="L22" s="3" t="n">
        <v>90.1</v>
      </c>
      <c r="M22" s="3" t="n">
        <v>4</v>
      </c>
      <c r="N22" s="3" t="s">
        <v>29</v>
      </c>
    </row>
    <row r="23" customFormat="false" ht="15" hidden="false" customHeight="true" outlineLevel="0" collapsed="false">
      <c r="A23" s="3" t="s">
        <v>63</v>
      </c>
      <c r="B23" s="3" t="n">
        <v>23</v>
      </c>
      <c r="C23" s="3" t="s">
        <v>21</v>
      </c>
      <c r="D23" s="3" t="s">
        <v>26</v>
      </c>
      <c r="E23" s="3" t="s">
        <v>62</v>
      </c>
      <c r="F23" s="3" t="s">
        <v>24</v>
      </c>
      <c r="G23" s="3" t="n">
        <v>0</v>
      </c>
      <c r="H23" s="3" t="n">
        <v>62550</v>
      </c>
      <c r="I23" s="3" t="n">
        <v>3</v>
      </c>
      <c r="J23" s="3" t="n">
        <v>3</v>
      </c>
      <c r="K23" s="3" t="s">
        <v>19</v>
      </c>
      <c r="L23" s="3" t="n">
        <v>92</v>
      </c>
      <c r="M23" s="3" t="n">
        <v>0</v>
      </c>
      <c r="N23" s="3" t="s">
        <v>19</v>
      </c>
    </row>
    <row r="24" customFormat="false" ht="15" hidden="false" customHeight="true" outlineLevel="0" collapsed="false">
      <c r="A24" s="3" t="s">
        <v>64</v>
      </c>
      <c r="B24" s="3" t="n">
        <v>36</v>
      </c>
      <c r="C24" s="3" t="s">
        <v>21</v>
      </c>
      <c r="D24" s="3" t="s">
        <v>22</v>
      </c>
      <c r="E24" s="3" t="s">
        <v>36</v>
      </c>
      <c r="F24" s="3" t="s">
        <v>24</v>
      </c>
      <c r="G24" s="3" t="n">
        <v>8</v>
      </c>
      <c r="H24" s="3" t="n">
        <v>53964</v>
      </c>
      <c r="I24" s="3" t="n">
        <v>3</v>
      </c>
      <c r="J24" s="3" t="n">
        <v>3</v>
      </c>
      <c r="K24" s="3" t="s">
        <v>29</v>
      </c>
      <c r="L24" s="3" t="n">
        <v>96.6</v>
      </c>
      <c r="M24" s="3" t="n">
        <v>1</v>
      </c>
      <c r="N24" s="3" t="s">
        <v>19</v>
      </c>
    </row>
    <row r="25" customFormat="false" ht="15" hidden="false" customHeight="true" outlineLevel="0" collapsed="false">
      <c r="A25" s="3" t="s">
        <v>65</v>
      </c>
      <c r="B25" s="3" t="n">
        <v>25</v>
      </c>
      <c r="C25" s="3" t="s">
        <v>15</v>
      </c>
      <c r="D25" s="3" t="s">
        <v>16</v>
      </c>
      <c r="E25" s="3" t="s">
        <v>34</v>
      </c>
      <c r="F25" s="3" t="s">
        <v>28</v>
      </c>
      <c r="G25" s="3" t="n">
        <v>0</v>
      </c>
      <c r="H25" s="3" t="n">
        <v>53992</v>
      </c>
      <c r="I25" s="3" t="n">
        <v>3</v>
      </c>
      <c r="J25" s="3" t="n">
        <v>4</v>
      </c>
      <c r="K25" s="3" t="s">
        <v>19</v>
      </c>
      <c r="L25" s="3" t="n">
        <v>90.8</v>
      </c>
      <c r="M25" s="3" t="n">
        <v>0</v>
      </c>
      <c r="N25" s="3" t="s">
        <v>19</v>
      </c>
    </row>
    <row r="26" customFormat="false" ht="15" hidden="false" customHeight="true" outlineLevel="0" collapsed="false">
      <c r="A26" s="3" t="s">
        <v>66</v>
      </c>
      <c r="B26" s="3" t="n">
        <v>36</v>
      </c>
      <c r="C26" s="3" t="s">
        <v>21</v>
      </c>
      <c r="D26" s="3" t="s">
        <v>48</v>
      </c>
      <c r="E26" s="3" t="s">
        <v>49</v>
      </c>
      <c r="F26" s="3" t="s">
        <v>24</v>
      </c>
      <c r="G26" s="3" t="n">
        <v>7</v>
      </c>
      <c r="H26" s="3" t="n">
        <v>69985</v>
      </c>
      <c r="I26" s="3" t="n">
        <v>3</v>
      </c>
      <c r="J26" s="3" t="n">
        <v>2</v>
      </c>
      <c r="K26" s="3" t="s">
        <v>29</v>
      </c>
      <c r="L26" s="3" t="n">
        <v>98.5</v>
      </c>
      <c r="M26" s="3" t="n">
        <v>5</v>
      </c>
      <c r="N26" s="3" t="s">
        <v>19</v>
      </c>
    </row>
    <row r="27" customFormat="false" ht="15" hidden="false" customHeight="true" outlineLevel="0" collapsed="false">
      <c r="A27" s="3" t="s">
        <v>67</v>
      </c>
      <c r="B27" s="3" t="n">
        <v>47</v>
      </c>
      <c r="C27" s="3" t="s">
        <v>21</v>
      </c>
      <c r="D27" s="3" t="s">
        <v>31</v>
      </c>
      <c r="E27" s="3" t="s">
        <v>52</v>
      </c>
      <c r="F27" s="3" t="s">
        <v>28</v>
      </c>
      <c r="G27" s="3" t="n">
        <v>19</v>
      </c>
      <c r="H27" s="3" t="n">
        <v>63913</v>
      </c>
      <c r="I27" s="3" t="n">
        <v>3</v>
      </c>
      <c r="J27" s="3" t="n">
        <v>2</v>
      </c>
      <c r="K27" s="3" t="s">
        <v>19</v>
      </c>
      <c r="L27" s="3" t="n">
        <v>86.1</v>
      </c>
      <c r="M27" s="3" t="n">
        <v>11</v>
      </c>
      <c r="N27" s="3" t="s">
        <v>19</v>
      </c>
    </row>
    <row r="28" customFormat="false" ht="15" hidden="false" customHeight="true" outlineLevel="0" collapsed="false">
      <c r="A28" s="3" t="s">
        <v>68</v>
      </c>
      <c r="B28" s="3" t="n">
        <v>32</v>
      </c>
      <c r="C28" s="3" t="s">
        <v>21</v>
      </c>
      <c r="D28" s="3" t="s">
        <v>31</v>
      </c>
      <c r="E28" s="3" t="s">
        <v>69</v>
      </c>
      <c r="F28" s="3" t="s">
        <v>18</v>
      </c>
      <c r="G28" s="3" t="n">
        <v>10</v>
      </c>
      <c r="H28" s="3" t="n">
        <v>66711</v>
      </c>
      <c r="I28" s="3" t="n">
        <v>2</v>
      </c>
      <c r="J28" s="3" t="n">
        <v>4</v>
      </c>
      <c r="K28" s="3" t="s">
        <v>19</v>
      </c>
      <c r="L28" s="3" t="n">
        <v>88.5</v>
      </c>
      <c r="M28" s="3" t="n">
        <v>4</v>
      </c>
      <c r="N28" s="3" t="s">
        <v>19</v>
      </c>
    </row>
    <row r="29" customFormat="false" ht="15" hidden="false" customHeight="true" outlineLevel="0" collapsed="false">
      <c r="A29" s="3" t="s">
        <v>70</v>
      </c>
      <c r="B29" s="3" t="n">
        <v>34</v>
      </c>
      <c r="C29" s="3" t="s">
        <v>21</v>
      </c>
      <c r="D29" s="3" t="s">
        <v>16</v>
      </c>
      <c r="E29" s="3" t="s">
        <v>17</v>
      </c>
      <c r="F29" s="3" t="s">
        <v>24</v>
      </c>
      <c r="G29" s="3" t="n">
        <v>4</v>
      </c>
      <c r="H29" s="3" t="n">
        <v>61035</v>
      </c>
      <c r="I29" s="3" t="n">
        <v>1</v>
      </c>
      <c r="J29" s="3" t="n">
        <v>3</v>
      </c>
      <c r="K29" s="3" t="s">
        <v>19</v>
      </c>
      <c r="L29" s="3" t="n">
        <v>94.1</v>
      </c>
      <c r="M29" s="3" t="n">
        <v>4</v>
      </c>
      <c r="N29" s="3" t="s">
        <v>19</v>
      </c>
    </row>
    <row r="30" customFormat="false" ht="15" hidden="false" customHeight="true" outlineLevel="0" collapsed="false">
      <c r="A30" s="3" t="s">
        <v>71</v>
      </c>
      <c r="B30" s="3" t="n">
        <v>22</v>
      </c>
      <c r="C30" s="3" t="s">
        <v>21</v>
      </c>
      <c r="D30" s="3" t="s">
        <v>26</v>
      </c>
      <c r="E30" s="3" t="s">
        <v>27</v>
      </c>
      <c r="F30" s="3" t="s">
        <v>28</v>
      </c>
      <c r="G30" s="3" t="n">
        <v>0</v>
      </c>
      <c r="H30" s="3" t="n">
        <v>56216</v>
      </c>
      <c r="I30" s="3" t="n">
        <v>3</v>
      </c>
      <c r="J30" s="3" t="n">
        <v>4</v>
      </c>
      <c r="K30" s="3" t="s">
        <v>19</v>
      </c>
      <c r="L30" s="3" t="n">
        <v>93.2</v>
      </c>
      <c r="M30" s="3" t="n">
        <v>0</v>
      </c>
      <c r="N30" s="3" t="s">
        <v>19</v>
      </c>
    </row>
    <row r="31" customFormat="false" ht="15" hidden="false" customHeight="true" outlineLevel="0" collapsed="false">
      <c r="A31" s="3" t="s">
        <v>72</v>
      </c>
      <c r="B31" s="3" t="n">
        <v>27</v>
      </c>
      <c r="C31" s="3" t="s">
        <v>21</v>
      </c>
      <c r="D31" s="3" t="s">
        <v>26</v>
      </c>
      <c r="E31" s="3" t="s">
        <v>46</v>
      </c>
      <c r="F31" s="3" t="s">
        <v>18</v>
      </c>
      <c r="G31" s="3" t="n">
        <v>3</v>
      </c>
      <c r="H31" s="3" t="n">
        <v>47199</v>
      </c>
      <c r="I31" s="3" t="n">
        <v>4</v>
      </c>
      <c r="J31" s="3" t="n">
        <v>2</v>
      </c>
      <c r="K31" s="3" t="s">
        <v>19</v>
      </c>
      <c r="L31" s="3" t="n">
        <v>93</v>
      </c>
      <c r="M31" s="3" t="n">
        <v>0</v>
      </c>
      <c r="N31" s="3" t="s">
        <v>19</v>
      </c>
    </row>
    <row r="32" customFormat="false" ht="15" hidden="false" customHeight="true" outlineLevel="0" collapsed="false">
      <c r="A32" s="3" t="s">
        <v>73</v>
      </c>
      <c r="B32" s="3" t="n">
        <v>34</v>
      </c>
      <c r="C32" s="3" t="s">
        <v>15</v>
      </c>
      <c r="D32" s="3" t="s">
        <v>42</v>
      </c>
      <c r="E32" s="3" t="s">
        <v>74</v>
      </c>
      <c r="F32" s="3" t="s">
        <v>54</v>
      </c>
      <c r="G32" s="3" t="n">
        <v>11</v>
      </c>
      <c r="H32" s="3" t="n">
        <v>59085</v>
      </c>
      <c r="I32" s="3" t="n">
        <v>4</v>
      </c>
      <c r="J32" s="3" t="n">
        <v>2</v>
      </c>
      <c r="K32" s="3" t="s">
        <v>29</v>
      </c>
      <c r="L32" s="3" t="n">
        <v>98.5</v>
      </c>
      <c r="M32" s="3" t="n">
        <v>5</v>
      </c>
      <c r="N32" s="3" t="s">
        <v>19</v>
      </c>
    </row>
    <row r="33" customFormat="false" ht="15" hidden="false" customHeight="true" outlineLevel="0" collapsed="false">
      <c r="A33" s="3" t="s">
        <v>75</v>
      </c>
      <c r="B33" s="3" t="n">
        <v>23</v>
      </c>
      <c r="C33" s="3" t="s">
        <v>21</v>
      </c>
      <c r="D33" s="3" t="s">
        <v>48</v>
      </c>
      <c r="E33" s="3" t="s">
        <v>76</v>
      </c>
      <c r="F33" s="3" t="s">
        <v>18</v>
      </c>
      <c r="G33" s="3" t="n">
        <v>0</v>
      </c>
      <c r="H33" s="3" t="n">
        <v>59348</v>
      </c>
      <c r="I33" s="3" t="n">
        <v>1</v>
      </c>
      <c r="J33" s="3" t="n">
        <v>3</v>
      </c>
      <c r="K33" s="3" t="s">
        <v>29</v>
      </c>
      <c r="L33" s="3" t="n">
        <v>94.3</v>
      </c>
      <c r="M33" s="3" t="n">
        <v>0</v>
      </c>
      <c r="N33" s="3" t="s">
        <v>29</v>
      </c>
    </row>
    <row r="34" customFormat="false" ht="15" hidden="false" customHeight="true" outlineLevel="0" collapsed="false">
      <c r="A34" s="3" t="s">
        <v>77</v>
      </c>
      <c r="B34" s="3" t="n">
        <v>35</v>
      </c>
      <c r="C34" s="3" t="s">
        <v>15</v>
      </c>
      <c r="D34" s="3" t="s">
        <v>26</v>
      </c>
      <c r="E34" s="3" t="s">
        <v>46</v>
      </c>
      <c r="F34" s="3" t="s">
        <v>24</v>
      </c>
      <c r="G34" s="3" t="n">
        <v>10</v>
      </c>
      <c r="H34" s="3" t="n">
        <v>57282</v>
      </c>
      <c r="I34" s="3" t="n">
        <v>2</v>
      </c>
      <c r="J34" s="3" t="n">
        <v>3</v>
      </c>
      <c r="K34" s="3" t="s">
        <v>29</v>
      </c>
      <c r="L34" s="3" t="n">
        <v>91.4</v>
      </c>
      <c r="M34" s="3" t="n">
        <v>5</v>
      </c>
      <c r="N34" s="3" t="s">
        <v>29</v>
      </c>
    </row>
    <row r="35" customFormat="false" ht="15" hidden="false" customHeight="true" outlineLevel="0" collapsed="false">
      <c r="A35" s="3" t="s">
        <v>78</v>
      </c>
      <c r="B35" s="3" t="n">
        <v>22</v>
      </c>
      <c r="C35" s="3" t="s">
        <v>21</v>
      </c>
      <c r="D35" s="3" t="s">
        <v>31</v>
      </c>
      <c r="E35" s="3" t="s">
        <v>52</v>
      </c>
      <c r="F35" s="3" t="s">
        <v>24</v>
      </c>
      <c r="G35" s="3" t="n">
        <v>0</v>
      </c>
      <c r="H35" s="3" t="n">
        <v>46860</v>
      </c>
      <c r="I35" s="3" t="n">
        <v>3</v>
      </c>
      <c r="J35" s="3" t="n">
        <v>4</v>
      </c>
      <c r="K35" s="3" t="s">
        <v>19</v>
      </c>
      <c r="L35" s="3" t="n">
        <v>91.7</v>
      </c>
      <c r="M35" s="3" t="n">
        <v>0</v>
      </c>
      <c r="N35" s="3" t="s">
        <v>19</v>
      </c>
    </row>
    <row r="36" customFormat="false" ht="15" hidden="false" customHeight="true" outlineLevel="0" collapsed="false">
      <c r="A36" s="3" t="s">
        <v>79</v>
      </c>
      <c r="B36" s="3" t="n">
        <v>33</v>
      </c>
      <c r="C36" s="3" t="s">
        <v>15</v>
      </c>
      <c r="D36" s="3" t="s">
        <v>42</v>
      </c>
      <c r="E36" s="3" t="s">
        <v>74</v>
      </c>
      <c r="F36" s="3" t="s">
        <v>28</v>
      </c>
      <c r="G36" s="3" t="n">
        <v>11</v>
      </c>
      <c r="H36" s="3" t="n">
        <v>65667</v>
      </c>
      <c r="I36" s="3" t="n">
        <v>4</v>
      </c>
      <c r="J36" s="3" t="n">
        <v>4</v>
      </c>
      <c r="K36" s="3" t="s">
        <v>19</v>
      </c>
      <c r="L36" s="3" t="n">
        <v>94</v>
      </c>
      <c r="M36" s="3" t="n">
        <v>3</v>
      </c>
      <c r="N36" s="3" t="s">
        <v>19</v>
      </c>
    </row>
    <row r="37" customFormat="false" ht="15" hidden="false" customHeight="true" outlineLevel="0" collapsed="false">
      <c r="A37" s="3" t="s">
        <v>80</v>
      </c>
      <c r="B37" s="3" t="n">
        <v>37</v>
      </c>
      <c r="C37" s="3" t="s">
        <v>15</v>
      </c>
      <c r="D37" s="3" t="s">
        <v>26</v>
      </c>
      <c r="E37" s="3" t="s">
        <v>46</v>
      </c>
      <c r="F37" s="3" t="s">
        <v>24</v>
      </c>
      <c r="G37" s="3" t="n">
        <v>9</v>
      </c>
      <c r="H37" s="3" t="n">
        <v>48820</v>
      </c>
      <c r="I37" s="3" t="n">
        <v>2</v>
      </c>
      <c r="J37" s="3" t="n">
        <v>3</v>
      </c>
      <c r="K37" s="3" t="s">
        <v>19</v>
      </c>
      <c r="L37" s="3" t="n">
        <v>93.6</v>
      </c>
      <c r="M37" s="3" t="n">
        <v>3</v>
      </c>
      <c r="N37" s="3" t="s">
        <v>19</v>
      </c>
    </row>
    <row r="38" customFormat="false" ht="15" hidden="false" customHeight="true" outlineLevel="0" collapsed="false">
      <c r="A38" s="3" t="s">
        <v>81</v>
      </c>
      <c r="B38" s="3" t="n">
        <v>44</v>
      </c>
      <c r="C38" s="3" t="s">
        <v>21</v>
      </c>
      <c r="D38" s="3" t="s">
        <v>16</v>
      </c>
      <c r="E38" s="3" t="s">
        <v>17</v>
      </c>
      <c r="F38" s="3" t="s">
        <v>18</v>
      </c>
      <c r="G38" s="3" t="n">
        <v>12</v>
      </c>
      <c r="H38" s="3" t="n">
        <v>65275</v>
      </c>
      <c r="I38" s="3" t="n">
        <v>3</v>
      </c>
      <c r="J38" s="3" t="n">
        <v>5</v>
      </c>
      <c r="K38" s="3" t="s">
        <v>29</v>
      </c>
      <c r="L38" s="3" t="n">
        <v>92.3</v>
      </c>
      <c r="M38" s="3" t="n">
        <v>6</v>
      </c>
      <c r="N38" s="3" t="s">
        <v>19</v>
      </c>
    </row>
    <row r="39" customFormat="false" ht="15" hidden="false" customHeight="true" outlineLevel="0" collapsed="false">
      <c r="A39" s="3" t="s">
        <v>82</v>
      </c>
      <c r="B39" s="3" t="n">
        <v>42</v>
      </c>
      <c r="C39" s="3" t="s">
        <v>15</v>
      </c>
      <c r="D39" s="3" t="s">
        <v>16</v>
      </c>
      <c r="E39" s="3" t="s">
        <v>34</v>
      </c>
      <c r="F39" s="3" t="s">
        <v>24</v>
      </c>
      <c r="G39" s="3" t="n">
        <v>10</v>
      </c>
      <c r="H39" s="3" t="n">
        <v>57641</v>
      </c>
      <c r="I39" s="3" t="n">
        <v>1</v>
      </c>
      <c r="J39" s="3" t="n">
        <v>2</v>
      </c>
      <c r="K39" s="3" t="s">
        <v>29</v>
      </c>
      <c r="L39" s="3" t="n">
        <v>90.5</v>
      </c>
      <c r="M39" s="3" t="n">
        <v>3</v>
      </c>
      <c r="N39" s="3" t="s">
        <v>19</v>
      </c>
    </row>
    <row r="40" customFormat="false" ht="15" hidden="false" customHeight="true" outlineLevel="0" collapsed="false">
      <c r="A40" s="3" t="s">
        <v>83</v>
      </c>
      <c r="B40" s="3" t="n">
        <v>42</v>
      </c>
      <c r="C40" s="3" t="s">
        <v>21</v>
      </c>
      <c r="D40" s="3" t="s">
        <v>31</v>
      </c>
      <c r="E40" s="3" t="s">
        <v>69</v>
      </c>
      <c r="F40" s="3" t="s">
        <v>28</v>
      </c>
      <c r="G40" s="3" t="n">
        <v>9</v>
      </c>
      <c r="H40" s="3" t="n">
        <v>69142</v>
      </c>
      <c r="I40" s="3" t="n">
        <v>4</v>
      </c>
      <c r="J40" s="3" t="n">
        <v>2</v>
      </c>
      <c r="K40" s="3" t="s">
        <v>19</v>
      </c>
      <c r="L40" s="3" t="n">
        <v>100</v>
      </c>
      <c r="M40" s="3" t="n">
        <v>5</v>
      </c>
      <c r="N40" s="3" t="s">
        <v>19</v>
      </c>
    </row>
    <row r="41" customFormat="false" ht="15" hidden="false" customHeight="true" outlineLevel="0" collapsed="false">
      <c r="A41" s="3" t="s">
        <v>84</v>
      </c>
      <c r="B41" s="3" t="n">
        <v>45</v>
      </c>
      <c r="C41" s="3" t="s">
        <v>15</v>
      </c>
      <c r="D41" s="3" t="s">
        <v>22</v>
      </c>
      <c r="E41" s="3" t="s">
        <v>38</v>
      </c>
      <c r="F41" s="3" t="s">
        <v>24</v>
      </c>
      <c r="G41" s="3" t="n">
        <v>14</v>
      </c>
      <c r="H41" s="3" t="n">
        <v>68921</v>
      </c>
      <c r="I41" s="3" t="n">
        <v>2</v>
      </c>
      <c r="J41" s="3" t="n">
        <v>3</v>
      </c>
      <c r="K41" s="3" t="s">
        <v>19</v>
      </c>
      <c r="L41" s="3" t="n">
        <v>93.8</v>
      </c>
      <c r="M41" s="3" t="n">
        <v>5</v>
      </c>
      <c r="N41" s="3" t="s">
        <v>19</v>
      </c>
    </row>
    <row r="42" customFormat="false" ht="15" hidden="false" customHeight="true" outlineLevel="0" collapsed="false">
      <c r="A42" s="3" t="s">
        <v>85</v>
      </c>
      <c r="B42" s="3" t="n">
        <v>37</v>
      </c>
      <c r="C42" s="3" t="s">
        <v>21</v>
      </c>
      <c r="D42" s="3" t="s">
        <v>31</v>
      </c>
      <c r="E42" s="3" t="s">
        <v>32</v>
      </c>
      <c r="F42" s="3" t="s">
        <v>28</v>
      </c>
      <c r="G42" s="3" t="n">
        <v>8</v>
      </c>
      <c r="H42" s="3" t="n">
        <v>60655</v>
      </c>
      <c r="I42" s="3" t="n">
        <v>4</v>
      </c>
      <c r="J42" s="3" t="n">
        <v>2</v>
      </c>
      <c r="K42" s="3" t="s">
        <v>29</v>
      </c>
      <c r="L42" s="3" t="n">
        <v>77.2</v>
      </c>
      <c r="M42" s="3" t="n">
        <v>1</v>
      </c>
      <c r="N42" s="3" t="s">
        <v>19</v>
      </c>
    </row>
    <row r="43" customFormat="false" ht="15" hidden="false" customHeight="true" outlineLevel="0" collapsed="false">
      <c r="A43" s="3" t="s">
        <v>86</v>
      </c>
      <c r="B43" s="3" t="n">
        <v>53</v>
      </c>
      <c r="C43" s="3" t="s">
        <v>21</v>
      </c>
      <c r="D43" s="3" t="s">
        <v>16</v>
      </c>
      <c r="E43" s="3" t="s">
        <v>17</v>
      </c>
      <c r="F43" s="3" t="s">
        <v>28</v>
      </c>
      <c r="G43" s="3" t="n">
        <v>20</v>
      </c>
      <c r="H43" s="3" t="n">
        <v>73397</v>
      </c>
      <c r="I43" s="3" t="n">
        <v>3</v>
      </c>
      <c r="J43" s="3" t="n">
        <v>3</v>
      </c>
      <c r="K43" s="3" t="s">
        <v>19</v>
      </c>
      <c r="L43" s="3" t="n">
        <v>95.3</v>
      </c>
      <c r="M43" s="3" t="n">
        <v>9</v>
      </c>
      <c r="N43" s="3" t="s">
        <v>19</v>
      </c>
    </row>
    <row r="44" customFormat="false" ht="15" hidden="false" customHeight="true" outlineLevel="0" collapsed="false">
      <c r="A44" s="3" t="s">
        <v>87</v>
      </c>
      <c r="B44" s="3" t="n">
        <v>41</v>
      </c>
      <c r="C44" s="3" t="s">
        <v>21</v>
      </c>
      <c r="D44" s="3" t="s">
        <v>31</v>
      </c>
      <c r="E44" s="3" t="s">
        <v>32</v>
      </c>
      <c r="F44" s="3" t="s">
        <v>24</v>
      </c>
      <c r="G44" s="3" t="n">
        <v>16</v>
      </c>
      <c r="H44" s="3" t="n">
        <v>60629</v>
      </c>
      <c r="I44" s="3" t="n">
        <v>4</v>
      </c>
      <c r="J44" s="3" t="n">
        <v>3</v>
      </c>
      <c r="K44" s="3" t="s">
        <v>19</v>
      </c>
      <c r="L44" s="3" t="n">
        <v>99.8</v>
      </c>
      <c r="M44" s="3" t="n">
        <v>10</v>
      </c>
      <c r="N44" s="3" t="s">
        <v>19</v>
      </c>
    </row>
    <row r="45" customFormat="false" ht="15" hidden="false" customHeight="true" outlineLevel="0" collapsed="false">
      <c r="A45" s="3" t="s">
        <v>88</v>
      </c>
      <c r="B45" s="3" t="n">
        <v>26</v>
      </c>
      <c r="C45" s="3" t="s">
        <v>21</v>
      </c>
      <c r="D45" s="3" t="s">
        <v>48</v>
      </c>
      <c r="E45" s="3" t="s">
        <v>89</v>
      </c>
      <c r="F45" s="3" t="s">
        <v>24</v>
      </c>
      <c r="G45" s="3" t="n">
        <v>1</v>
      </c>
      <c r="H45" s="3" t="n">
        <v>89991</v>
      </c>
      <c r="I45" s="3" t="n">
        <v>1</v>
      </c>
      <c r="J45" s="3" t="n">
        <v>2</v>
      </c>
      <c r="K45" s="3" t="s">
        <v>29</v>
      </c>
      <c r="L45" s="3" t="n">
        <v>87.9</v>
      </c>
      <c r="M45" s="3" t="n">
        <v>0</v>
      </c>
      <c r="N45" s="3" t="s">
        <v>19</v>
      </c>
    </row>
    <row r="46" customFormat="false" ht="15" hidden="false" customHeight="true" outlineLevel="0" collapsed="false">
      <c r="A46" s="3" t="s">
        <v>90</v>
      </c>
      <c r="B46" s="3" t="n">
        <v>32</v>
      </c>
      <c r="C46" s="3" t="s">
        <v>15</v>
      </c>
      <c r="D46" s="3" t="s">
        <v>26</v>
      </c>
      <c r="E46" s="3" t="s">
        <v>27</v>
      </c>
      <c r="F46" s="3" t="s">
        <v>24</v>
      </c>
      <c r="G46" s="3" t="n">
        <v>5</v>
      </c>
      <c r="H46" s="3" t="n">
        <v>64540</v>
      </c>
      <c r="I46" s="3" t="n">
        <v>3</v>
      </c>
      <c r="J46" s="3" t="n">
        <v>3</v>
      </c>
      <c r="K46" s="3" t="s">
        <v>19</v>
      </c>
      <c r="L46" s="3" t="n">
        <v>91.6</v>
      </c>
      <c r="M46" s="3" t="n">
        <v>3</v>
      </c>
      <c r="N46" s="3" t="s">
        <v>19</v>
      </c>
    </row>
    <row r="47" customFormat="false" ht="15" hidden="false" customHeight="true" outlineLevel="0" collapsed="false">
      <c r="A47" s="3" t="s">
        <v>91</v>
      </c>
      <c r="B47" s="3" t="n">
        <v>27</v>
      </c>
      <c r="C47" s="3" t="s">
        <v>21</v>
      </c>
      <c r="D47" s="3" t="s">
        <v>48</v>
      </c>
      <c r="E47" s="3" t="s">
        <v>57</v>
      </c>
      <c r="F47" s="3" t="s">
        <v>24</v>
      </c>
      <c r="G47" s="3" t="n">
        <v>0</v>
      </c>
      <c r="H47" s="3" t="n">
        <v>84217</v>
      </c>
      <c r="I47" s="3" t="n">
        <v>3</v>
      </c>
      <c r="J47" s="3" t="n">
        <v>3</v>
      </c>
      <c r="K47" s="3" t="s">
        <v>29</v>
      </c>
      <c r="L47" s="3" t="n">
        <v>96.5</v>
      </c>
      <c r="M47" s="3" t="n">
        <v>0</v>
      </c>
      <c r="N47" s="3" t="s">
        <v>19</v>
      </c>
    </row>
    <row r="48" customFormat="false" ht="15" hidden="false" customHeight="true" outlineLevel="0" collapsed="false">
      <c r="A48" s="3" t="s">
        <v>92</v>
      </c>
      <c r="B48" s="3" t="n">
        <v>32</v>
      </c>
      <c r="C48" s="3" t="s">
        <v>21</v>
      </c>
      <c r="D48" s="3" t="s">
        <v>48</v>
      </c>
      <c r="E48" s="3" t="s">
        <v>76</v>
      </c>
      <c r="F48" s="3" t="s">
        <v>24</v>
      </c>
      <c r="G48" s="3" t="n">
        <v>4</v>
      </c>
      <c r="H48" s="3" t="n">
        <v>65001</v>
      </c>
      <c r="I48" s="3" t="n">
        <v>3</v>
      </c>
      <c r="J48" s="3" t="n">
        <v>1</v>
      </c>
      <c r="K48" s="3" t="s">
        <v>19</v>
      </c>
      <c r="L48" s="3" t="n">
        <v>98.2</v>
      </c>
      <c r="M48" s="3" t="n">
        <v>2</v>
      </c>
      <c r="N48" s="3" t="s">
        <v>19</v>
      </c>
    </row>
    <row r="49" customFormat="false" ht="15" hidden="false" customHeight="true" outlineLevel="0" collapsed="false">
      <c r="A49" s="3" t="s">
        <v>93</v>
      </c>
      <c r="B49" s="3" t="n">
        <v>36</v>
      </c>
      <c r="C49" s="3" t="s">
        <v>15</v>
      </c>
      <c r="D49" s="3" t="s">
        <v>31</v>
      </c>
      <c r="E49" s="3" t="s">
        <v>69</v>
      </c>
      <c r="F49" s="3" t="s">
        <v>54</v>
      </c>
      <c r="G49" s="3" t="n">
        <v>1</v>
      </c>
      <c r="H49" s="3" t="n">
        <v>71289</v>
      </c>
      <c r="I49" s="3" t="n">
        <v>1</v>
      </c>
      <c r="J49" s="3" t="n">
        <v>2</v>
      </c>
      <c r="K49" s="3" t="s">
        <v>19</v>
      </c>
      <c r="L49" s="3" t="n">
        <v>100</v>
      </c>
      <c r="M49" s="3" t="n">
        <v>1</v>
      </c>
      <c r="N49" s="3" t="s">
        <v>19</v>
      </c>
    </row>
    <row r="50" customFormat="false" ht="15" hidden="false" customHeight="true" outlineLevel="0" collapsed="false">
      <c r="A50" s="3" t="s">
        <v>94</v>
      </c>
      <c r="B50" s="3" t="n">
        <v>35</v>
      </c>
      <c r="C50" s="3" t="s">
        <v>15</v>
      </c>
      <c r="D50" s="3" t="s">
        <v>48</v>
      </c>
      <c r="E50" s="3" t="s">
        <v>76</v>
      </c>
      <c r="F50" s="3" t="s">
        <v>24</v>
      </c>
      <c r="G50" s="3" t="n">
        <v>13</v>
      </c>
      <c r="H50" s="3" t="n">
        <v>74617</v>
      </c>
      <c r="I50" s="3" t="n">
        <v>4</v>
      </c>
      <c r="J50" s="3" t="n">
        <v>3</v>
      </c>
      <c r="K50" s="3" t="s">
        <v>19</v>
      </c>
      <c r="L50" s="3" t="n">
        <v>94.6</v>
      </c>
      <c r="M50" s="3" t="n">
        <v>5</v>
      </c>
      <c r="N50" s="3" t="s">
        <v>19</v>
      </c>
    </row>
    <row r="51" customFormat="false" ht="15" hidden="false" customHeight="true" outlineLevel="0" collapsed="false">
      <c r="A51" s="3" t="s">
        <v>95</v>
      </c>
      <c r="B51" s="3" t="n">
        <v>44</v>
      </c>
      <c r="C51" s="3" t="s">
        <v>15</v>
      </c>
      <c r="D51" s="3" t="s">
        <v>42</v>
      </c>
      <c r="E51" s="3" t="s">
        <v>43</v>
      </c>
      <c r="F51" s="3" t="s">
        <v>28</v>
      </c>
      <c r="G51" s="3" t="n">
        <v>11</v>
      </c>
      <c r="H51" s="3" t="n">
        <v>47157</v>
      </c>
      <c r="I51" s="3" t="n">
        <v>3</v>
      </c>
      <c r="J51" s="3" t="n">
        <v>2</v>
      </c>
      <c r="K51" s="3" t="s">
        <v>19</v>
      </c>
      <c r="L51" s="3" t="n">
        <v>84.9</v>
      </c>
      <c r="M51" s="3" t="n">
        <v>6</v>
      </c>
      <c r="N51" s="3" t="s">
        <v>19</v>
      </c>
    </row>
    <row r="52" customFormat="false" ht="15" hidden="false" customHeight="true" outlineLevel="0" collapsed="false">
      <c r="A52" s="3" t="s">
        <v>96</v>
      </c>
      <c r="B52" s="3" t="n">
        <v>27</v>
      </c>
      <c r="C52" s="3" t="s">
        <v>15</v>
      </c>
      <c r="D52" s="3" t="s">
        <v>26</v>
      </c>
      <c r="E52" s="3" t="s">
        <v>27</v>
      </c>
      <c r="F52" s="3" t="s">
        <v>28</v>
      </c>
      <c r="G52" s="3" t="n">
        <v>0</v>
      </c>
      <c r="H52" s="3" t="n">
        <v>58628</v>
      </c>
      <c r="I52" s="3" t="n">
        <v>3</v>
      </c>
      <c r="J52" s="3" t="n">
        <v>2</v>
      </c>
      <c r="K52" s="3" t="s">
        <v>29</v>
      </c>
      <c r="L52" s="3" t="n">
        <v>89.3</v>
      </c>
      <c r="M52" s="3" t="n">
        <v>0</v>
      </c>
      <c r="N52" s="3" t="s">
        <v>19</v>
      </c>
    </row>
    <row r="53" customFormat="false" ht="15" hidden="false" customHeight="true" outlineLevel="0" collapsed="false">
      <c r="A53" s="3" t="s">
        <v>97</v>
      </c>
      <c r="B53" s="3" t="n">
        <v>44</v>
      </c>
      <c r="C53" s="3" t="s">
        <v>15</v>
      </c>
      <c r="D53" s="3" t="s">
        <v>48</v>
      </c>
      <c r="E53" s="3" t="s">
        <v>76</v>
      </c>
      <c r="F53" s="3" t="s">
        <v>54</v>
      </c>
      <c r="G53" s="3" t="n">
        <v>10</v>
      </c>
      <c r="H53" s="3" t="n">
        <v>66252</v>
      </c>
      <c r="I53" s="3" t="n">
        <v>3</v>
      </c>
      <c r="J53" s="3" t="n">
        <v>2</v>
      </c>
      <c r="K53" s="3" t="s">
        <v>19</v>
      </c>
      <c r="L53" s="3" t="n">
        <v>86.4</v>
      </c>
      <c r="M53" s="3" t="n">
        <v>4</v>
      </c>
      <c r="N53" s="3" t="s">
        <v>29</v>
      </c>
    </row>
    <row r="54" customFormat="false" ht="15" hidden="false" customHeight="true" outlineLevel="0" collapsed="false">
      <c r="A54" s="3" t="s">
        <v>98</v>
      </c>
      <c r="B54" s="3" t="n">
        <v>38</v>
      </c>
      <c r="C54" s="3" t="s">
        <v>15</v>
      </c>
      <c r="D54" s="3" t="s">
        <v>42</v>
      </c>
      <c r="E54" s="3" t="s">
        <v>74</v>
      </c>
      <c r="F54" s="3" t="s">
        <v>24</v>
      </c>
      <c r="G54" s="3" t="n">
        <v>5</v>
      </c>
      <c r="H54" s="3" t="n">
        <v>64161</v>
      </c>
      <c r="I54" s="3" t="n">
        <v>1</v>
      </c>
      <c r="J54" s="3" t="n">
        <v>3</v>
      </c>
      <c r="K54" s="3" t="s">
        <v>19</v>
      </c>
      <c r="L54" s="3" t="n">
        <v>100</v>
      </c>
      <c r="M54" s="3" t="n">
        <v>2</v>
      </c>
      <c r="N54" s="3" t="s">
        <v>19</v>
      </c>
    </row>
    <row r="55" customFormat="false" ht="15" hidden="false" customHeight="true" outlineLevel="0" collapsed="false">
      <c r="A55" s="3" t="s">
        <v>99</v>
      </c>
      <c r="B55" s="3" t="n">
        <v>47</v>
      </c>
      <c r="C55" s="3" t="s">
        <v>21</v>
      </c>
      <c r="D55" s="3" t="s">
        <v>26</v>
      </c>
      <c r="E55" s="3" t="s">
        <v>46</v>
      </c>
      <c r="F55" s="3" t="s">
        <v>24</v>
      </c>
      <c r="G55" s="3" t="n">
        <v>12</v>
      </c>
      <c r="H55" s="3" t="n">
        <v>60650</v>
      </c>
      <c r="I55" s="3" t="n">
        <v>3</v>
      </c>
      <c r="J55" s="3" t="n">
        <v>1</v>
      </c>
      <c r="K55" s="3" t="s">
        <v>19</v>
      </c>
      <c r="L55" s="3" t="n">
        <v>87.5</v>
      </c>
      <c r="M55" s="3" t="n">
        <v>6</v>
      </c>
      <c r="N55" s="3" t="s">
        <v>19</v>
      </c>
    </row>
    <row r="56" customFormat="false" ht="15" hidden="false" customHeight="true" outlineLevel="0" collapsed="false">
      <c r="A56" s="3" t="s">
        <v>100</v>
      </c>
      <c r="B56" s="3" t="n">
        <v>33</v>
      </c>
      <c r="C56" s="3" t="s">
        <v>21</v>
      </c>
      <c r="D56" s="3" t="s">
        <v>42</v>
      </c>
      <c r="E56" s="3" t="s">
        <v>43</v>
      </c>
      <c r="F56" s="3" t="s">
        <v>28</v>
      </c>
      <c r="G56" s="3" t="n">
        <v>2</v>
      </c>
      <c r="H56" s="3" t="n">
        <v>46889</v>
      </c>
      <c r="I56" s="3" t="n">
        <v>2</v>
      </c>
      <c r="J56" s="3" t="n">
        <v>1</v>
      </c>
      <c r="K56" s="3" t="s">
        <v>19</v>
      </c>
      <c r="L56" s="3" t="n">
        <v>93.7</v>
      </c>
      <c r="M56" s="3" t="n">
        <v>2</v>
      </c>
      <c r="N56" s="3" t="s">
        <v>19</v>
      </c>
    </row>
    <row r="57" customFormat="false" ht="15" hidden="false" customHeight="true" outlineLevel="0" collapsed="false">
      <c r="A57" s="3" t="s">
        <v>101</v>
      </c>
      <c r="B57" s="3" t="n">
        <v>37</v>
      </c>
      <c r="C57" s="3" t="s">
        <v>15</v>
      </c>
      <c r="D57" s="3" t="s">
        <v>31</v>
      </c>
      <c r="E57" s="3" t="s">
        <v>69</v>
      </c>
      <c r="F57" s="3" t="s">
        <v>24</v>
      </c>
      <c r="G57" s="3" t="n">
        <v>10</v>
      </c>
      <c r="H57" s="3" t="n">
        <v>76406</v>
      </c>
      <c r="I57" s="3" t="n">
        <v>2</v>
      </c>
      <c r="J57" s="3" t="n">
        <v>2</v>
      </c>
      <c r="K57" s="3" t="s">
        <v>29</v>
      </c>
      <c r="L57" s="3" t="n">
        <v>96</v>
      </c>
      <c r="M57" s="3" t="n">
        <v>6</v>
      </c>
      <c r="N57" s="3" t="s">
        <v>29</v>
      </c>
    </row>
    <row r="58" customFormat="false" ht="15" hidden="false" customHeight="true" outlineLevel="0" collapsed="false">
      <c r="A58" s="3" t="s">
        <v>102</v>
      </c>
      <c r="B58" s="3" t="n">
        <v>30</v>
      </c>
      <c r="C58" s="3" t="s">
        <v>21</v>
      </c>
      <c r="D58" s="3" t="s">
        <v>48</v>
      </c>
      <c r="E58" s="3" t="s">
        <v>76</v>
      </c>
      <c r="F58" s="3" t="s">
        <v>18</v>
      </c>
      <c r="G58" s="3" t="n">
        <v>4</v>
      </c>
      <c r="H58" s="3" t="n">
        <v>65470</v>
      </c>
      <c r="I58" s="3" t="n">
        <v>1</v>
      </c>
      <c r="J58" s="3" t="n">
        <v>2</v>
      </c>
      <c r="K58" s="3" t="s">
        <v>19</v>
      </c>
      <c r="L58" s="3" t="n">
        <v>91</v>
      </c>
      <c r="M58" s="3" t="n">
        <v>0</v>
      </c>
      <c r="N58" s="3" t="s">
        <v>19</v>
      </c>
    </row>
    <row r="59" customFormat="false" ht="15" hidden="false" customHeight="true" outlineLevel="0" collapsed="false">
      <c r="A59" s="3" t="s">
        <v>103</v>
      </c>
      <c r="B59" s="3" t="n">
        <v>32</v>
      </c>
      <c r="C59" s="3" t="s">
        <v>21</v>
      </c>
      <c r="D59" s="3" t="s">
        <v>26</v>
      </c>
      <c r="E59" s="3" t="s">
        <v>46</v>
      </c>
      <c r="F59" s="3" t="s">
        <v>28</v>
      </c>
      <c r="G59" s="3" t="n">
        <v>3</v>
      </c>
      <c r="H59" s="3" t="n">
        <v>49934</v>
      </c>
      <c r="I59" s="3" t="n">
        <v>2</v>
      </c>
      <c r="J59" s="3" t="n">
        <v>3</v>
      </c>
      <c r="K59" s="3" t="s">
        <v>29</v>
      </c>
      <c r="L59" s="3" t="n">
        <v>95.5</v>
      </c>
      <c r="M59" s="3" t="n">
        <v>0</v>
      </c>
      <c r="N59" s="3" t="s">
        <v>19</v>
      </c>
    </row>
    <row r="60" customFormat="false" ht="15" hidden="false" customHeight="true" outlineLevel="0" collapsed="false">
      <c r="A60" s="3" t="s">
        <v>104</v>
      </c>
      <c r="B60" s="3" t="n">
        <v>33</v>
      </c>
      <c r="C60" s="3" t="s">
        <v>21</v>
      </c>
      <c r="D60" s="3" t="s">
        <v>48</v>
      </c>
      <c r="E60" s="3" t="s">
        <v>57</v>
      </c>
      <c r="F60" s="3" t="s">
        <v>28</v>
      </c>
      <c r="G60" s="3" t="n">
        <v>6</v>
      </c>
      <c r="H60" s="3" t="n">
        <v>89515</v>
      </c>
      <c r="I60" s="3" t="n">
        <v>4</v>
      </c>
      <c r="J60" s="3" t="n">
        <v>1</v>
      </c>
      <c r="K60" s="3" t="s">
        <v>19</v>
      </c>
      <c r="L60" s="3" t="n">
        <v>87.4</v>
      </c>
      <c r="M60" s="3" t="n">
        <v>0</v>
      </c>
      <c r="N60" s="3" t="s">
        <v>19</v>
      </c>
    </row>
    <row r="61" customFormat="false" ht="15" hidden="false" customHeight="true" outlineLevel="0" collapsed="false">
      <c r="A61" s="3" t="s">
        <v>105</v>
      </c>
      <c r="B61" s="3" t="n">
        <v>36</v>
      </c>
      <c r="C61" s="3" t="s">
        <v>21</v>
      </c>
      <c r="D61" s="3" t="s">
        <v>48</v>
      </c>
      <c r="E61" s="3" t="s">
        <v>57</v>
      </c>
      <c r="F61" s="3" t="s">
        <v>28</v>
      </c>
      <c r="G61" s="3" t="n">
        <v>11</v>
      </c>
      <c r="H61" s="3" t="n">
        <v>96594</v>
      </c>
      <c r="I61" s="3" t="n">
        <v>3</v>
      </c>
      <c r="J61" s="3" t="n">
        <v>3</v>
      </c>
      <c r="K61" s="3" t="s">
        <v>29</v>
      </c>
      <c r="L61" s="3" t="n">
        <v>95.9</v>
      </c>
      <c r="M61" s="3" t="n">
        <v>5</v>
      </c>
      <c r="N61" s="3" t="s">
        <v>29</v>
      </c>
    </row>
    <row r="62" customFormat="false" ht="15" hidden="false" customHeight="true" outlineLevel="0" collapsed="false">
      <c r="A62" s="3" t="s">
        <v>106</v>
      </c>
      <c r="B62" s="3" t="n">
        <v>22</v>
      </c>
      <c r="C62" s="3" t="s">
        <v>21</v>
      </c>
      <c r="D62" s="3" t="s">
        <v>22</v>
      </c>
      <c r="E62" s="3" t="s">
        <v>23</v>
      </c>
      <c r="F62" s="3" t="s">
        <v>28</v>
      </c>
      <c r="G62" s="3" t="n">
        <v>0</v>
      </c>
      <c r="H62" s="3" t="n">
        <v>45723</v>
      </c>
      <c r="I62" s="3" t="n">
        <v>4</v>
      </c>
      <c r="J62" s="3" t="n">
        <v>3</v>
      </c>
      <c r="K62" s="3" t="s">
        <v>19</v>
      </c>
      <c r="L62" s="3" t="n">
        <v>87.5</v>
      </c>
      <c r="M62" s="3" t="n">
        <v>0</v>
      </c>
      <c r="N62" s="3" t="s">
        <v>19</v>
      </c>
    </row>
    <row r="63" customFormat="false" ht="15" hidden="false" customHeight="true" outlineLevel="0" collapsed="false">
      <c r="A63" s="3" t="s">
        <v>107</v>
      </c>
      <c r="B63" s="3" t="n">
        <v>31</v>
      </c>
      <c r="C63" s="3" t="s">
        <v>15</v>
      </c>
      <c r="D63" s="3" t="s">
        <v>42</v>
      </c>
      <c r="E63" s="3" t="s">
        <v>74</v>
      </c>
      <c r="F63" s="3" t="s">
        <v>24</v>
      </c>
      <c r="G63" s="3" t="n">
        <v>2</v>
      </c>
      <c r="H63" s="3" t="n">
        <v>62420</v>
      </c>
      <c r="I63" s="3" t="n">
        <v>3</v>
      </c>
      <c r="J63" s="3" t="n">
        <v>3</v>
      </c>
      <c r="K63" s="3" t="s">
        <v>29</v>
      </c>
      <c r="L63" s="3" t="n">
        <v>95.2</v>
      </c>
      <c r="M63" s="3" t="n">
        <v>0</v>
      </c>
      <c r="N63" s="3" t="s">
        <v>19</v>
      </c>
    </row>
    <row r="64" customFormat="false" ht="15" hidden="false" customHeight="true" outlineLevel="0" collapsed="false">
      <c r="A64" s="3" t="s">
        <v>108</v>
      </c>
      <c r="B64" s="3" t="n">
        <v>39</v>
      </c>
      <c r="C64" s="3" t="s">
        <v>21</v>
      </c>
      <c r="D64" s="3" t="s">
        <v>26</v>
      </c>
      <c r="E64" s="3" t="s">
        <v>27</v>
      </c>
      <c r="F64" s="3" t="s">
        <v>28</v>
      </c>
      <c r="G64" s="3" t="n">
        <v>11</v>
      </c>
      <c r="H64" s="3" t="n">
        <v>75315</v>
      </c>
      <c r="I64" s="3" t="n">
        <v>4</v>
      </c>
      <c r="J64" s="3" t="n">
        <v>3</v>
      </c>
      <c r="K64" s="3" t="s">
        <v>19</v>
      </c>
      <c r="L64" s="3" t="n">
        <v>92.1</v>
      </c>
      <c r="M64" s="3" t="n">
        <v>8</v>
      </c>
      <c r="N64" s="3" t="s">
        <v>19</v>
      </c>
    </row>
    <row r="65" customFormat="false" ht="15" hidden="false" customHeight="true" outlineLevel="0" collapsed="false">
      <c r="A65" s="3" t="s">
        <v>109</v>
      </c>
      <c r="B65" s="3" t="n">
        <v>25</v>
      </c>
      <c r="C65" s="3" t="s">
        <v>21</v>
      </c>
      <c r="D65" s="3" t="s">
        <v>42</v>
      </c>
      <c r="E65" s="3" t="s">
        <v>43</v>
      </c>
      <c r="F65" s="3" t="s">
        <v>24</v>
      </c>
      <c r="G65" s="3" t="n">
        <v>3</v>
      </c>
      <c r="H65" s="3" t="n">
        <v>53890</v>
      </c>
      <c r="I65" s="3" t="n">
        <v>3</v>
      </c>
      <c r="J65" s="3" t="n">
        <v>3</v>
      </c>
      <c r="K65" s="3" t="s">
        <v>19</v>
      </c>
      <c r="L65" s="3" t="n">
        <v>92.2</v>
      </c>
      <c r="M65" s="3" t="n">
        <v>1</v>
      </c>
      <c r="N65" s="3" t="s">
        <v>19</v>
      </c>
    </row>
    <row r="66" customFormat="false" ht="15" hidden="false" customHeight="true" outlineLevel="0" collapsed="false">
      <c r="A66" s="3" t="s">
        <v>110</v>
      </c>
      <c r="B66" s="3" t="n">
        <v>25</v>
      </c>
      <c r="C66" s="3" t="s">
        <v>21</v>
      </c>
      <c r="D66" s="3" t="s">
        <v>16</v>
      </c>
      <c r="E66" s="3" t="s">
        <v>17</v>
      </c>
      <c r="F66" s="3" t="s">
        <v>28</v>
      </c>
      <c r="G66" s="3" t="n">
        <v>1</v>
      </c>
      <c r="H66" s="3" t="n">
        <v>55409</v>
      </c>
      <c r="I66" s="3" t="n">
        <v>3</v>
      </c>
      <c r="J66" s="3" t="n">
        <v>4</v>
      </c>
      <c r="K66" s="3" t="s">
        <v>19</v>
      </c>
      <c r="L66" s="3" t="n">
        <v>92.2</v>
      </c>
      <c r="M66" s="3" t="n">
        <v>0</v>
      </c>
      <c r="N66" s="3" t="s">
        <v>19</v>
      </c>
    </row>
    <row r="67" customFormat="false" ht="15" hidden="false" customHeight="true" outlineLevel="0" collapsed="false">
      <c r="A67" s="3" t="s">
        <v>111</v>
      </c>
      <c r="B67" s="3" t="n">
        <v>25</v>
      </c>
      <c r="C67" s="3" t="s">
        <v>15</v>
      </c>
      <c r="D67" s="3" t="s">
        <v>31</v>
      </c>
      <c r="E67" s="3" t="s">
        <v>52</v>
      </c>
      <c r="F67" s="3" t="s">
        <v>28</v>
      </c>
      <c r="G67" s="3" t="n">
        <v>3</v>
      </c>
      <c r="H67" s="3" t="n">
        <v>45723</v>
      </c>
      <c r="I67" s="3" t="n">
        <v>2</v>
      </c>
      <c r="J67" s="3" t="n">
        <v>3</v>
      </c>
      <c r="K67" s="3" t="s">
        <v>29</v>
      </c>
      <c r="L67" s="3" t="n">
        <v>89.1</v>
      </c>
      <c r="M67" s="3" t="n">
        <v>1</v>
      </c>
      <c r="N67" s="3" t="s">
        <v>19</v>
      </c>
    </row>
    <row r="68" customFormat="false" ht="15" hidden="false" customHeight="true" outlineLevel="0" collapsed="false">
      <c r="A68" s="3" t="s">
        <v>112</v>
      </c>
      <c r="B68" s="3" t="n">
        <v>29</v>
      </c>
      <c r="C68" s="3" t="s">
        <v>15</v>
      </c>
      <c r="D68" s="3" t="s">
        <v>48</v>
      </c>
      <c r="E68" s="3" t="s">
        <v>76</v>
      </c>
      <c r="F68" s="3" t="s">
        <v>24</v>
      </c>
      <c r="G68" s="3" t="n">
        <v>2</v>
      </c>
      <c r="H68" s="3" t="n">
        <v>64875</v>
      </c>
      <c r="I68" s="3" t="n">
        <v>4</v>
      </c>
      <c r="J68" s="3" t="n">
        <v>2</v>
      </c>
      <c r="K68" s="3" t="s">
        <v>19</v>
      </c>
      <c r="L68" s="3" t="n">
        <v>82.7</v>
      </c>
      <c r="M68" s="3" t="n">
        <v>0</v>
      </c>
      <c r="N68" s="3" t="s">
        <v>19</v>
      </c>
    </row>
    <row r="69" customFormat="false" ht="15" hidden="false" customHeight="true" outlineLevel="0" collapsed="false">
      <c r="A69" s="3" t="s">
        <v>113</v>
      </c>
      <c r="B69" s="3" t="n">
        <v>34</v>
      </c>
      <c r="C69" s="3" t="s">
        <v>15</v>
      </c>
      <c r="D69" s="3" t="s">
        <v>31</v>
      </c>
      <c r="E69" s="3" t="s">
        <v>32</v>
      </c>
      <c r="F69" s="3" t="s">
        <v>28</v>
      </c>
      <c r="G69" s="3" t="n">
        <v>7</v>
      </c>
      <c r="H69" s="3" t="n">
        <v>49788</v>
      </c>
      <c r="I69" s="3" t="n">
        <v>2</v>
      </c>
      <c r="J69" s="3" t="n">
        <v>2</v>
      </c>
      <c r="K69" s="3" t="s">
        <v>19</v>
      </c>
      <c r="L69" s="3" t="n">
        <v>90.4</v>
      </c>
      <c r="M69" s="3" t="n">
        <v>6</v>
      </c>
      <c r="N69" s="3" t="s">
        <v>29</v>
      </c>
    </row>
    <row r="70" customFormat="false" ht="15" hidden="false" customHeight="true" outlineLevel="0" collapsed="false">
      <c r="A70" s="3" t="s">
        <v>114</v>
      </c>
      <c r="B70" s="3" t="n">
        <v>48</v>
      </c>
      <c r="C70" s="3" t="s">
        <v>15</v>
      </c>
      <c r="D70" s="3" t="s">
        <v>48</v>
      </c>
      <c r="E70" s="3" t="s">
        <v>89</v>
      </c>
      <c r="F70" s="3" t="s">
        <v>54</v>
      </c>
      <c r="G70" s="3" t="n">
        <v>15</v>
      </c>
      <c r="H70" s="3" t="n">
        <v>99461</v>
      </c>
      <c r="I70" s="3" t="n">
        <v>5</v>
      </c>
      <c r="J70" s="3" t="n">
        <v>4</v>
      </c>
      <c r="K70" s="3" t="s">
        <v>19</v>
      </c>
      <c r="L70" s="3" t="n">
        <v>96.8</v>
      </c>
      <c r="M70" s="3" t="n">
        <v>7</v>
      </c>
      <c r="N70" s="3" t="s">
        <v>19</v>
      </c>
    </row>
    <row r="71" customFormat="false" ht="15" hidden="false" customHeight="true" outlineLevel="0" collapsed="false">
      <c r="A71" s="3" t="s">
        <v>115</v>
      </c>
      <c r="B71" s="3" t="n">
        <v>30</v>
      </c>
      <c r="C71" s="3" t="s">
        <v>21</v>
      </c>
      <c r="D71" s="3" t="s">
        <v>48</v>
      </c>
      <c r="E71" s="3" t="s">
        <v>49</v>
      </c>
      <c r="F71" s="3" t="s">
        <v>24</v>
      </c>
      <c r="G71" s="3" t="n">
        <v>8</v>
      </c>
      <c r="H71" s="3" t="n">
        <v>73899</v>
      </c>
      <c r="I71" s="3" t="n">
        <v>1</v>
      </c>
      <c r="J71" s="3" t="n">
        <v>3</v>
      </c>
      <c r="K71" s="3" t="s">
        <v>29</v>
      </c>
      <c r="L71" s="3" t="n">
        <v>84.8</v>
      </c>
      <c r="M71" s="3" t="n">
        <v>4</v>
      </c>
      <c r="N71" s="3" t="s">
        <v>19</v>
      </c>
    </row>
    <row r="72" customFormat="false" ht="15" hidden="false" customHeight="true" outlineLevel="0" collapsed="false">
      <c r="A72" s="3" t="s">
        <v>116</v>
      </c>
      <c r="B72" s="3" t="n">
        <v>34</v>
      </c>
      <c r="C72" s="3" t="s">
        <v>21</v>
      </c>
      <c r="D72" s="3" t="s">
        <v>26</v>
      </c>
      <c r="E72" s="3" t="s">
        <v>62</v>
      </c>
      <c r="F72" s="3" t="s">
        <v>24</v>
      </c>
      <c r="G72" s="3" t="n">
        <v>5</v>
      </c>
      <c r="H72" s="3" t="n">
        <v>64115</v>
      </c>
      <c r="I72" s="3" t="n">
        <v>2</v>
      </c>
      <c r="J72" s="3" t="n">
        <v>3</v>
      </c>
      <c r="K72" s="3" t="s">
        <v>19</v>
      </c>
      <c r="L72" s="3" t="n">
        <v>82.5</v>
      </c>
      <c r="M72" s="3" t="n">
        <v>2</v>
      </c>
      <c r="N72" s="3" t="s">
        <v>19</v>
      </c>
    </row>
    <row r="73" customFormat="false" ht="15" hidden="false" customHeight="true" outlineLevel="0" collapsed="false">
      <c r="A73" s="3" t="s">
        <v>117</v>
      </c>
      <c r="B73" s="3" t="n">
        <v>33</v>
      </c>
      <c r="C73" s="3" t="s">
        <v>15</v>
      </c>
      <c r="D73" s="3" t="s">
        <v>42</v>
      </c>
      <c r="E73" s="3" t="s">
        <v>74</v>
      </c>
      <c r="F73" s="3" t="s">
        <v>18</v>
      </c>
      <c r="G73" s="3" t="n">
        <v>6</v>
      </c>
      <c r="H73" s="3" t="n">
        <v>58155</v>
      </c>
      <c r="I73" s="3" t="n">
        <v>2</v>
      </c>
      <c r="J73" s="3" t="n">
        <v>2</v>
      </c>
      <c r="K73" s="3" t="s">
        <v>29</v>
      </c>
      <c r="L73" s="3" t="n">
        <v>98.2</v>
      </c>
      <c r="M73" s="3" t="n">
        <v>4</v>
      </c>
      <c r="N73" s="3" t="s">
        <v>19</v>
      </c>
    </row>
    <row r="74" customFormat="false" ht="15" hidden="false" customHeight="true" outlineLevel="0" collapsed="false">
      <c r="A74" s="3" t="s">
        <v>118</v>
      </c>
      <c r="B74" s="3" t="n">
        <v>22</v>
      </c>
      <c r="C74" s="3" t="s">
        <v>15</v>
      </c>
      <c r="D74" s="3" t="s">
        <v>22</v>
      </c>
      <c r="E74" s="3" t="s">
        <v>38</v>
      </c>
      <c r="F74" s="3" t="s">
        <v>24</v>
      </c>
      <c r="G74" s="3" t="n">
        <v>0</v>
      </c>
      <c r="H74" s="3" t="n">
        <v>58797</v>
      </c>
      <c r="I74" s="3" t="n">
        <v>2</v>
      </c>
      <c r="J74" s="3" t="n">
        <v>2</v>
      </c>
      <c r="K74" s="3" t="s">
        <v>29</v>
      </c>
      <c r="L74" s="3" t="n">
        <v>84.3</v>
      </c>
      <c r="M74" s="3" t="n">
        <v>0</v>
      </c>
      <c r="N74" s="3" t="s">
        <v>19</v>
      </c>
    </row>
    <row r="75" customFormat="false" ht="15" hidden="false" customHeight="true" outlineLevel="0" collapsed="false">
      <c r="A75" s="3" t="s">
        <v>119</v>
      </c>
      <c r="B75" s="3" t="n">
        <v>34</v>
      </c>
      <c r="C75" s="3" t="s">
        <v>21</v>
      </c>
      <c r="D75" s="3" t="s">
        <v>42</v>
      </c>
      <c r="E75" s="3" t="s">
        <v>43</v>
      </c>
      <c r="F75" s="3" t="s">
        <v>24</v>
      </c>
      <c r="G75" s="3" t="n">
        <v>7</v>
      </c>
      <c r="H75" s="3" t="n">
        <v>45191</v>
      </c>
      <c r="I75" s="3" t="n">
        <v>3</v>
      </c>
      <c r="J75" s="3" t="n">
        <v>2</v>
      </c>
      <c r="K75" s="3" t="s">
        <v>29</v>
      </c>
      <c r="L75" s="3" t="n">
        <v>94</v>
      </c>
      <c r="M75" s="3" t="n">
        <v>3</v>
      </c>
      <c r="N75" s="3" t="s">
        <v>19</v>
      </c>
    </row>
    <row r="76" customFormat="false" ht="15" hidden="false" customHeight="true" outlineLevel="0" collapsed="false">
      <c r="A76" s="3" t="s">
        <v>120</v>
      </c>
      <c r="B76" s="3" t="n">
        <v>29</v>
      </c>
      <c r="C76" s="3" t="s">
        <v>15</v>
      </c>
      <c r="D76" s="3" t="s">
        <v>42</v>
      </c>
      <c r="E76" s="3" t="s">
        <v>121</v>
      </c>
      <c r="F76" s="3" t="s">
        <v>24</v>
      </c>
      <c r="G76" s="3" t="n">
        <v>7</v>
      </c>
      <c r="H76" s="3" t="n">
        <v>42776</v>
      </c>
      <c r="I76" s="3" t="n">
        <v>2</v>
      </c>
      <c r="J76" s="3" t="n">
        <v>2</v>
      </c>
      <c r="K76" s="3" t="s">
        <v>19</v>
      </c>
      <c r="L76" s="3" t="n">
        <v>89.1</v>
      </c>
      <c r="M76" s="3" t="n">
        <v>6</v>
      </c>
      <c r="N76" s="3" t="s">
        <v>19</v>
      </c>
    </row>
    <row r="77" customFormat="false" ht="15" hidden="false" customHeight="true" outlineLevel="0" collapsed="false">
      <c r="A77" s="3" t="s">
        <v>122</v>
      </c>
      <c r="B77" s="3" t="n">
        <v>49</v>
      </c>
      <c r="C77" s="3" t="s">
        <v>21</v>
      </c>
      <c r="D77" s="3" t="s">
        <v>48</v>
      </c>
      <c r="E77" s="3" t="s">
        <v>57</v>
      </c>
      <c r="F77" s="3" t="s">
        <v>24</v>
      </c>
      <c r="G77" s="3" t="n">
        <v>16</v>
      </c>
      <c r="H77" s="3" t="n">
        <v>100693</v>
      </c>
      <c r="I77" s="3" t="n">
        <v>4</v>
      </c>
      <c r="J77" s="3" t="n">
        <v>4</v>
      </c>
      <c r="K77" s="3" t="s">
        <v>29</v>
      </c>
      <c r="L77" s="3" t="n">
        <v>94.9</v>
      </c>
      <c r="M77" s="3" t="n">
        <v>8</v>
      </c>
      <c r="N77" s="3" t="s">
        <v>19</v>
      </c>
    </row>
    <row r="78" customFormat="false" ht="15" hidden="false" customHeight="true" outlineLevel="0" collapsed="false">
      <c r="A78" s="3" t="s">
        <v>123</v>
      </c>
      <c r="B78" s="3" t="n">
        <v>33</v>
      </c>
      <c r="C78" s="3" t="s">
        <v>21</v>
      </c>
      <c r="D78" s="3" t="s">
        <v>42</v>
      </c>
      <c r="E78" s="3" t="s">
        <v>43</v>
      </c>
      <c r="F78" s="3" t="s">
        <v>28</v>
      </c>
      <c r="G78" s="3" t="n">
        <v>10</v>
      </c>
      <c r="H78" s="3" t="n">
        <v>54157</v>
      </c>
      <c r="I78" s="3" t="n">
        <v>2</v>
      </c>
      <c r="J78" s="3" t="n">
        <v>3</v>
      </c>
      <c r="K78" s="3" t="s">
        <v>19</v>
      </c>
      <c r="L78" s="3" t="n">
        <v>93.9</v>
      </c>
      <c r="M78" s="3" t="n">
        <v>7</v>
      </c>
      <c r="N78" s="3" t="s">
        <v>19</v>
      </c>
    </row>
    <row r="79" customFormat="false" ht="15" hidden="false" customHeight="true" outlineLevel="0" collapsed="false">
      <c r="A79" s="3" t="s">
        <v>124</v>
      </c>
      <c r="B79" s="3" t="n">
        <v>22</v>
      </c>
      <c r="C79" s="3" t="s">
        <v>15</v>
      </c>
      <c r="D79" s="3" t="s">
        <v>48</v>
      </c>
      <c r="E79" s="3" t="s">
        <v>57</v>
      </c>
      <c r="F79" s="3" t="s">
        <v>24</v>
      </c>
      <c r="G79" s="3" t="n">
        <v>1</v>
      </c>
      <c r="H79" s="3" t="n">
        <v>83463</v>
      </c>
      <c r="I79" s="3" t="n">
        <v>5</v>
      </c>
      <c r="J79" s="3" t="n">
        <v>3</v>
      </c>
      <c r="K79" s="3" t="s">
        <v>19</v>
      </c>
      <c r="L79" s="3" t="n">
        <v>100</v>
      </c>
      <c r="M79" s="3" t="n">
        <v>1</v>
      </c>
      <c r="N79" s="3" t="s">
        <v>19</v>
      </c>
    </row>
    <row r="80" customFormat="false" ht="15" hidden="false" customHeight="true" outlineLevel="0" collapsed="false">
      <c r="A80" s="3" t="s">
        <v>125</v>
      </c>
      <c r="B80" s="3" t="n">
        <v>25</v>
      </c>
      <c r="C80" s="3" t="s">
        <v>21</v>
      </c>
      <c r="D80" s="3" t="s">
        <v>42</v>
      </c>
      <c r="E80" s="3" t="s">
        <v>43</v>
      </c>
      <c r="F80" s="3" t="s">
        <v>24</v>
      </c>
      <c r="G80" s="3" t="n">
        <v>2</v>
      </c>
      <c r="H80" s="3" t="n">
        <v>45938</v>
      </c>
      <c r="I80" s="3" t="n">
        <v>2</v>
      </c>
      <c r="J80" s="3" t="n">
        <v>3</v>
      </c>
      <c r="K80" s="3" t="s">
        <v>19</v>
      </c>
      <c r="L80" s="3" t="n">
        <v>95.1</v>
      </c>
      <c r="M80" s="3" t="n">
        <v>2</v>
      </c>
      <c r="N80" s="3" t="s">
        <v>19</v>
      </c>
    </row>
    <row r="81" customFormat="false" ht="15" hidden="false" customHeight="true" outlineLevel="0" collapsed="false">
      <c r="A81" s="3" t="s">
        <v>126</v>
      </c>
      <c r="B81" s="3" t="n">
        <v>25</v>
      </c>
      <c r="C81" s="3" t="s">
        <v>15</v>
      </c>
      <c r="D81" s="3" t="s">
        <v>16</v>
      </c>
      <c r="E81" s="3" t="s">
        <v>17</v>
      </c>
      <c r="F81" s="3" t="s">
        <v>24</v>
      </c>
      <c r="G81" s="3" t="n">
        <v>4</v>
      </c>
      <c r="H81" s="3" t="n">
        <v>52477</v>
      </c>
      <c r="I81" s="3" t="n">
        <v>3</v>
      </c>
      <c r="J81" s="3" t="n">
        <v>3</v>
      </c>
      <c r="K81" s="3" t="s">
        <v>19</v>
      </c>
      <c r="L81" s="3" t="n">
        <v>95.2</v>
      </c>
      <c r="M81" s="3" t="n">
        <v>2</v>
      </c>
      <c r="N81" s="3" t="s">
        <v>19</v>
      </c>
    </row>
    <row r="82" customFormat="false" ht="15" hidden="false" customHeight="true" outlineLevel="0" collapsed="false">
      <c r="A82" s="3" t="s">
        <v>127</v>
      </c>
      <c r="B82" s="3" t="n">
        <v>36</v>
      </c>
      <c r="C82" s="3" t="s">
        <v>15</v>
      </c>
      <c r="D82" s="3" t="s">
        <v>48</v>
      </c>
      <c r="E82" s="3" t="s">
        <v>57</v>
      </c>
      <c r="F82" s="3" t="s">
        <v>24</v>
      </c>
      <c r="G82" s="3" t="n">
        <v>8</v>
      </c>
      <c r="H82" s="3" t="n">
        <v>91261</v>
      </c>
      <c r="I82" s="3" t="n">
        <v>3</v>
      </c>
      <c r="J82" s="3" t="n">
        <v>3</v>
      </c>
      <c r="K82" s="3" t="s">
        <v>19</v>
      </c>
      <c r="L82" s="3" t="n">
        <v>92.7</v>
      </c>
      <c r="M82" s="3" t="n">
        <v>6</v>
      </c>
      <c r="N82" s="3" t="s">
        <v>19</v>
      </c>
    </row>
    <row r="83" customFormat="false" ht="15" hidden="false" customHeight="true" outlineLevel="0" collapsed="false">
      <c r="A83" s="3" t="s">
        <v>128</v>
      </c>
      <c r="B83" s="3" t="n">
        <v>33</v>
      </c>
      <c r="C83" s="3" t="s">
        <v>21</v>
      </c>
      <c r="D83" s="3" t="s">
        <v>48</v>
      </c>
      <c r="E83" s="3" t="s">
        <v>89</v>
      </c>
      <c r="F83" s="3" t="s">
        <v>24</v>
      </c>
      <c r="G83" s="3" t="n">
        <v>5</v>
      </c>
      <c r="H83" s="3" t="n">
        <v>91680</v>
      </c>
      <c r="I83" s="3" t="n">
        <v>2</v>
      </c>
      <c r="J83" s="3" t="n">
        <v>3</v>
      </c>
      <c r="K83" s="3" t="s">
        <v>29</v>
      </c>
      <c r="L83" s="3" t="n">
        <v>85.8</v>
      </c>
      <c r="M83" s="3" t="n">
        <v>3</v>
      </c>
      <c r="N83" s="3" t="s">
        <v>29</v>
      </c>
    </row>
    <row r="84" customFormat="false" ht="15" hidden="false" customHeight="true" outlineLevel="0" collapsed="false">
      <c r="A84" s="3" t="s">
        <v>129</v>
      </c>
      <c r="B84" s="3" t="n">
        <v>29</v>
      </c>
      <c r="C84" s="3" t="s">
        <v>21</v>
      </c>
      <c r="D84" s="3" t="s">
        <v>16</v>
      </c>
      <c r="E84" s="3" t="s">
        <v>17</v>
      </c>
      <c r="F84" s="3" t="s">
        <v>24</v>
      </c>
      <c r="G84" s="3" t="n">
        <v>0</v>
      </c>
      <c r="H84" s="3" t="n">
        <v>57478</v>
      </c>
      <c r="I84" s="3" t="n">
        <v>3</v>
      </c>
      <c r="J84" s="3" t="n">
        <v>3</v>
      </c>
      <c r="K84" s="3" t="s">
        <v>29</v>
      </c>
      <c r="L84" s="3" t="n">
        <v>95.1</v>
      </c>
      <c r="M84" s="3" t="n">
        <v>0</v>
      </c>
      <c r="N84" s="3" t="s">
        <v>19</v>
      </c>
    </row>
    <row r="85" customFormat="false" ht="15" hidden="false" customHeight="true" outlineLevel="0" collapsed="false">
      <c r="A85" s="3" t="s">
        <v>130</v>
      </c>
      <c r="B85" s="3" t="n">
        <v>31</v>
      </c>
      <c r="C85" s="3" t="s">
        <v>21</v>
      </c>
      <c r="D85" s="3" t="s">
        <v>16</v>
      </c>
      <c r="E85" s="3" t="s">
        <v>17</v>
      </c>
      <c r="F85" s="3" t="s">
        <v>24</v>
      </c>
      <c r="G85" s="3" t="n">
        <v>0</v>
      </c>
      <c r="H85" s="3" t="n">
        <v>55811</v>
      </c>
      <c r="I85" s="3" t="n">
        <v>2</v>
      </c>
      <c r="J85" s="3" t="n">
        <v>3</v>
      </c>
      <c r="K85" s="3" t="s">
        <v>19</v>
      </c>
      <c r="L85" s="3" t="n">
        <v>92</v>
      </c>
      <c r="M85" s="3" t="n">
        <v>0</v>
      </c>
      <c r="N85" s="3" t="s">
        <v>19</v>
      </c>
    </row>
    <row r="86" customFormat="false" ht="15" hidden="false" customHeight="true" outlineLevel="0" collapsed="false">
      <c r="A86" s="3" t="s">
        <v>131</v>
      </c>
      <c r="B86" s="3" t="n">
        <v>29</v>
      </c>
      <c r="C86" s="3" t="s">
        <v>15</v>
      </c>
      <c r="D86" s="3" t="s">
        <v>48</v>
      </c>
      <c r="E86" s="3" t="s">
        <v>89</v>
      </c>
      <c r="F86" s="3" t="s">
        <v>24</v>
      </c>
      <c r="G86" s="3" t="n">
        <v>7</v>
      </c>
      <c r="H86" s="3" t="n">
        <v>87750</v>
      </c>
      <c r="I86" s="3" t="n">
        <v>2</v>
      </c>
      <c r="J86" s="3" t="n">
        <v>2</v>
      </c>
      <c r="K86" s="3" t="s">
        <v>19</v>
      </c>
      <c r="L86" s="3" t="n">
        <v>87.2</v>
      </c>
      <c r="M86" s="3" t="n">
        <v>3</v>
      </c>
      <c r="N86" s="3" t="s">
        <v>19</v>
      </c>
    </row>
    <row r="87" customFormat="false" ht="15" hidden="false" customHeight="true" outlineLevel="0" collapsed="false">
      <c r="A87" s="3" t="s">
        <v>132</v>
      </c>
      <c r="B87" s="3" t="n">
        <v>24</v>
      </c>
      <c r="C87" s="3" t="s">
        <v>15</v>
      </c>
      <c r="D87" s="3" t="s">
        <v>48</v>
      </c>
      <c r="E87" s="3" t="s">
        <v>49</v>
      </c>
      <c r="F87" s="3" t="s">
        <v>24</v>
      </c>
      <c r="G87" s="3" t="n">
        <v>1</v>
      </c>
      <c r="H87" s="3" t="n">
        <v>66499</v>
      </c>
      <c r="I87" s="3" t="n">
        <v>3</v>
      </c>
      <c r="J87" s="3" t="n">
        <v>3</v>
      </c>
      <c r="K87" s="3" t="s">
        <v>19</v>
      </c>
      <c r="L87" s="3" t="n">
        <v>91.2</v>
      </c>
      <c r="M87" s="3" t="n">
        <v>1</v>
      </c>
      <c r="N87" s="3" t="s">
        <v>19</v>
      </c>
    </row>
    <row r="88" customFormat="false" ht="15" hidden="false" customHeight="true" outlineLevel="0" collapsed="false">
      <c r="A88" s="3" t="s">
        <v>133</v>
      </c>
      <c r="B88" s="3" t="n">
        <v>30</v>
      </c>
      <c r="C88" s="3" t="s">
        <v>21</v>
      </c>
      <c r="D88" s="3" t="s">
        <v>26</v>
      </c>
      <c r="E88" s="3" t="s">
        <v>46</v>
      </c>
      <c r="F88" s="3" t="s">
        <v>28</v>
      </c>
      <c r="G88" s="3" t="n">
        <v>8</v>
      </c>
      <c r="H88" s="3" t="n">
        <v>51890</v>
      </c>
      <c r="I88" s="3" t="n">
        <v>3</v>
      </c>
      <c r="J88" s="3" t="n">
        <v>2</v>
      </c>
      <c r="K88" s="3" t="s">
        <v>19</v>
      </c>
      <c r="L88" s="3" t="n">
        <v>84</v>
      </c>
      <c r="M88" s="3" t="n">
        <v>6</v>
      </c>
      <c r="N88" s="3" t="s">
        <v>19</v>
      </c>
    </row>
    <row r="89" customFormat="false" ht="15" hidden="false" customHeight="true" outlineLevel="0" collapsed="false">
      <c r="A89" s="3" t="s">
        <v>134</v>
      </c>
      <c r="B89" s="3" t="n">
        <v>35</v>
      </c>
      <c r="C89" s="3" t="s">
        <v>15</v>
      </c>
      <c r="D89" s="3" t="s">
        <v>42</v>
      </c>
      <c r="E89" s="3" t="s">
        <v>74</v>
      </c>
      <c r="F89" s="3" t="s">
        <v>18</v>
      </c>
      <c r="G89" s="3" t="n">
        <v>12</v>
      </c>
      <c r="H89" s="3" t="n">
        <v>67395</v>
      </c>
      <c r="I89" s="3" t="n">
        <v>3</v>
      </c>
      <c r="J89" s="3" t="n">
        <v>3</v>
      </c>
      <c r="K89" s="3" t="s">
        <v>19</v>
      </c>
      <c r="L89" s="3" t="n">
        <v>90</v>
      </c>
      <c r="M89" s="3" t="n">
        <v>6</v>
      </c>
      <c r="N89" s="3" t="s">
        <v>19</v>
      </c>
    </row>
    <row r="90" customFormat="false" ht="15" hidden="false" customHeight="true" outlineLevel="0" collapsed="false">
      <c r="A90" s="3" t="s">
        <v>135</v>
      </c>
      <c r="B90" s="3" t="n">
        <v>22</v>
      </c>
      <c r="C90" s="3" t="s">
        <v>21</v>
      </c>
      <c r="D90" s="3" t="s">
        <v>22</v>
      </c>
      <c r="E90" s="3" t="s">
        <v>23</v>
      </c>
      <c r="F90" s="3" t="s">
        <v>28</v>
      </c>
      <c r="G90" s="3" t="n">
        <v>1</v>
      </c>
      <c r="H90" s="3" t="n">
        <v>40275</v>
      </c>
      <c r="I90" s="3" t="n">
        <v>4</v>
      </c>
      <c r="J90" s="3" t="n">
        <v>4</v>
      </c>
      <c r="K90" s="3" t="s">
        <v>19</v>
      </c>
      <c r="L90" s="3" t="n">
        <v>96.9</v>
      </c>
      <c r="M90" s="3" t="n">
        <v>0</v>
      </c>
      <c r="N90" s="3" t="s">
        <v>19</v>
      </c>
    </row>
    <row r="91" customFormat="false" ht="15" hidden="false" customHeight="true" outlineLevel="0" collapsed="false">
      <c r="A91" s="3" t="s">
        <v>136</v>
      </c>
      <c r="B91" s="3" t="n">
        <v>43</v>
      </c>
      <c r="C91" s="3" t="s">
        <v>21</v>
      </c>
      <c r="D91" s="3" t="s">
        <v>16</v>
      </c>
      <c r="E91" s="3" t="s">
        <v>34</v>
      </c>
      <c r="F91" s="3" t="s">
        <v>24</v>
      </c>
      <c r="G91" s="3" t="n">
        <v>15</v>
      </c>
      <c r="H91" s="3" t="n">
        <v>63076</v>
      </c>
      <c r="I91" s="3" t="n">
        <v>2</v>
      </c>
      <c r="J91" s="3" t="n">
        <v>4</v>
      </c>
      <c r="K91" s="3" t="s">
        <v>19</v>
      </c>
      <c r="L91" s="3" t="n">
        <v>99.4</v>
      </c>
      <c r="M91" s="3" t="n">
        <v>8</v>
      </c>
      <c r="N91" s="3" t="s">
        <v>19</v>
      </c>
    </row>
    <row r="92" customFormat="false" ht="15" hidden="false" customHeight="true" outlineLevel="0" collapsed="false">
      <c r="A92" s="3" t="s">
        <v>137</v>
      </c>
      <c r="B92" s="3" t="n">
        <v>24</v>
      </c>
      <c r="C92" s="3" t="s">
        <v>21</v>
      </c>
      <c r="D92" s="3" t="s">
        <v>42</v>
      </c>
      <c r="E92" s="3" t="s">
        <v>121</v>
      </c>
      <c r="F92" s="3" t="s">
        <v>24</v>
      </c>
      <c r="G92" s="3" t="n">
        <v>1</v>
      </c>
      <c r="H92" s="3" t="n">
        <v>40945</v>
      </c>
      <c r="I92" s="3" t="n">
        <v>3</v>
      </c>
      <c r="J92" s="3" t="n">
        <v>3</v>
      </c>
      <c r="K92" s="3" t="s">
        <v>19</v>
      </c>
      <c r="L92" s="3" t="n">
        <v>90.8</v>
      </c>
      <c r="M92" s="3" t="n">
        <v>1</v>
      </c>
      <c r="N92" s="3" t="s">
        <v>29</v>
      </c>
    </row>
    <row r="93" customFormat="false" ht="15" hidden="false" customHeight="true" outlineLevel="0" collapsed="false">
      <c r="A93" s="3" t="s">
        <v>138</v>
      </c>
      <c r="B93" s="3" t="n">
        <v>31</v>
      </c>
      <c r="C93" s="3" t="s">
        <v>21</v>
      </c>
      <c r="D93" s="3" t="s">
        <v>26</v>
      </c>
      <c r="E93" s="3" t="s">
        <v>46</v>
      </c>
      <c r="F93" s="3" t="s">
        <v>54</v>
      </c>
      <c r="G93" s="3" t="n">
        <v>10</v>
      </c>
      <c r="H93" s="3" t="n">
        <v>52947</v>
      </c>
      <c r="I93" s="3" t="n">
        <v>2</v>
      </c>
      <c r="J93" s="3" t="n">
        <v>4</v>
      </c>
      <c r="K93" s="3" t="s">
        <v>19</v>
      </c>
      <c r="L93" s="3" t="n">
        <v>98.4</v>
      </c>
      <c r="M93" s="3" t="n">
        <v>3</v>
      </c>
      <c r="N93" s="3" t="s">
        <v>19</v>
      </c>
    </row>
    <row r="94" customFormat="false" ht="15" hidden="false" customHeight="true" outlineLevel="0" collapsed="false">
      <c r="A94" s="3" t="s">
        <v>139</v>
      </c>
      <c r="B94" s="3" t="n">
        <v>34</v>
      </c>
      <c r="C94" s="3" t="s">
        <v>15</v>
      </c>
      <c r="D94" s="3" t="s">
        <v>48</v>
      </c>
      <c r="E94" s="3" t="s">
        <v>57</v>
      </c>
      <c r="F94" s="3" t="s">
        <v>24</v>
      </c>
      <c r="G94" s="3" t="n">
        <v>7</v>
      </c>
      <c r="H94" s="3" t="n">
        <v>90858</v>
      </c>
      <c r="I94" s="3" t="n">
        <v>3</v>
      </c>
      <c r="J94" s="3" t="n">
        <v>3</v>
      </c>
      <c r="K94" s="3" t="s">
        <v>29</v>
      </c>
      <c r="L94" s="3" t="n">
        <v>97.1</v>
      </c>
      <c r="M94" s="3" t="n">
        <v>2</v>
      </c>
      <c r="N94" s="3" t="s">
        <v>19</v>
      </c>
    </row>
    <row r="95" customFormat="false" ht="15" hidden="false" customHeight="true" outlineLevel="0" collapsed="false">
      <c r="A95" s="3" t="s">
        <v>140</v>
      </c>
      <c r="B95" s="3" t="n">
        <v>35</v>
      </c>
      <c r="C95" s="3" t="s">
        <v>21</v>
      </c>
      <c r="D95" s="3" t="s">
        <v>16</v>
      </c>
      <c r="E95" s="3" t="s">
        <v>34</v>
      </c>
      <c r="F95" s="3" t="s">
        <v>24</v>
      </c>
      <c r="G95" s="3" t="n">
        <v>11</v>
      </c>
      <c r="H95" s="3" t="n">
        <v>64905</v>
      </c>
      <c r="I95" s="3" t="n">
        <v>4</v>
      </c>
      <c r="J95" s="3" t="n">
        <v>1</v>
      </c>
      <c r="K95" s="3" t="s">
        <v>29</v>
      </c>
      <c r="L95" s="3" t="n">
        <v>86.1</v>
      </c>
      <c r="M95" s="3" t="n">
        <v>5</v>
      </c>
      <c r="N95" s="3" t="s">
        <v>19</v>
      </c>
    </row>
    <row r="96" customFormat="false" ht="15" hidden="false" customHeight="true" outlineLevel="0" collapsed="false">
      <c r="A96" s="3" t="s">
        <v>141</v>
      </c>
      <c r="B96" s="3" t="n">
        <v>31</v>
      </c>
      <c r="C96" s="3" t="s">
        <v>21</v>
      </c>
      <c r="D96" s="3" t="s">
        <v>22</v>
      </c>
      <c r="E96" s="3" t="s">
        <v>38</v>
      </c>
      <c r="F96" s="3" t="s">
        <v>28</v>
      </c>
      <c r="G96" s="3" t="n">
        <v>1</v>
      </c>
      <c r="H96" s="3" t="n">
        <v>54045</v>
      </c>
      <c r="I96" s="3" t="n">
        <v>1</v>
      </c>
      <c r="J96" s="3" t="n">
        <v>1</v>
      </c>
      <c r="K96" s="3" t="s">
        <v>29</v>
      </c>
      <c r="L96" s="3" t="n">
        <v>87</v>
      </c>
      <c r="M96" s="3" t="n">
        <v>0</v>
      </c>
      <c r="N96" s="3" t="s">
        <v>19</v>
      </c>
    </row>
    <row r="97" customFormat="false" ht="15" hidden="false" customHeight="true" outlineLevel="0" collapsed="false">
      <c r="A97" s="3" t="s">
        <v>142</v>
      </c>
      <c r="B97" s="3" t="n">
        <v>22</v>
      </c>
      <c r="C97" s="3" t="s">
        <v>21</v>
      </c>
      <c r="D97" s="3" t="s">
        <v>48</v>
      </c>
      <c r="E97" s="3" t="s">
        <v>89</v>
      </c>
      <c r="F97" s="3" t="s">
        <v>24</v>
      </c>
      <c r="G97" s="3" t="n">
        <v>0</v>
      </c>
      <c r="H97" s="3" t="n">
        <v>87918</v>
      </c>
      <c r="I97" s="3" t="n">
        <v>2</v>
      </c>
      <c r="J97" s="3" t="n">
        <v>3</v>
      </c>
      <c r="K97" s="3" t="s">
        <v>29</v>
      </c>
      <c r="L97" s="3" t="n">
        <v>85.1</v>
      </c>
      <c r="M97" s="3" t="n">
        <v>0</v>
      </c>
      <c r="N97" s="3" t="s">
        <v>19</v>
      </c>
    </row>
    <row r="98" customFormat="false" ht="15" hidden="false" customHeight="true" outlineLevel="0" collapsed="false">
      <c r="A98" s="3" t="s">
        <v>143</v>
      </c>
      <c r="B98" s="3" t="n">
        <v>36</v>
      </c>
      <c r="C98" s="3" t="s">
        <v>15</v>
      </c>
      <c r="D98" s="3" t="s">
        <v>48</v>
      </c>
      <c r="E98" s="3" t="s">
        <v>89</v>
      </c>
      <c r="F98" s="3" t="s">
        <v>18</v>
      </c>
      <c r="G98" s="3" t="n">
        <v>10</v>
      </c>
      <c r="H98" s="3" t="n">
        <v>101235</v>
      </c>
      <c r="I98" s="3" t="n">
        <v>5</v>
      </c>
      <c r="J98" s="3" t="n">
        <v>1</v>
      </c>
      <c r="K98" s="3" t="s">
        <v>19</v>
      </c>
      <c r="L98" s="3" t="n">
        <v>99.4</v>
      </c>
      <c r="M98" s="3" t="n">
        <v>6</v>
      </c>
      <c r="N98" s="3" t="s">
        <v>29</v>
      </c>
    </row>
    <row r="99" customFormat="false" ht="15" hidden="false" customHeight="true" outlineLevel="0" collapsed="false">
      <c r="A99" s="3" t="s">
        <v>144</v>
      </c>
      <c r="B99" s="3" t="n">
        <v>23</v>
      </c>
      <c r="C99" s="3" t="s">
        <v>21</v>
      </c>
      <c r="D99" s="3" t="s">
        <v>26</v>
      </c>
      <c r="E99" s="3" t="s">
        <v>62</v>
      </c>
      <c r="F99" s="3" t="s">
        <v>54</v>
      </c>
      <c r="G99" s="3" t="n">
        <v>0</v>
      </c>
      <c r="H99" s="3" t="n">
        <v>55650</v>
      </c>
      <c r="I99" s="3" t="n">
        <v>2</v>
      </c>
      <c r="J99" s="3" t="n">
        <v>5</v>
      </c>
      <c r="K99" s="3" t="s">
        <v>29</v>
      </c>
      <c r="L99" s="3" t="n">
        <v>96.4</v>
      </c>
      <c r="M99" s="3" t="n">
        <v>0</v>
      </c>
      <c r="N99" s="3" t="s">
        <v>19</v>
      </c>
    </row>
    <row r="100" customFormat="false" ht="15" hidden="false" customHeight="true" outlineLevel="0" collapsed="false">
      <c r="A100" s="3" t="s">
        <v>145</v>
      </c>
      <c r="B100" s="3" t="n">
        <v>32</v>
      </c>
      <c r="C100" s="3" t="s">
        <v>21</v>
      </c>
      <c r="D100" s="3" t="s">
        <v>26</v>
      </c>
      <c r="E100" s="3" t="s">
        <v>46</v>
      </c>
      <c r="F100" s="3" t="s">
        <v>28</v>
      </c>
      <c r="G100" s="3" t="n">
        <v>4</v>
      </c>
      <c r="H100" s="3" t="n">
        <v>53899</v>
      </c>
      <c r="I100" s="3" t="n">
        <v>3</v>
      </c>
      <c r="J100" s="3" t="n">
        <v>4</v>
      </c>
      <c r="K100" s="3" t="s">
        <v>19</v>
      </c>
      <c r="L100" s="3" t="n">
        <v>95.9</v>
      </c>
      <c r="M100" s="3" t="n">
        <v>0</v>
      </c>
      <c r="N100" s="3" t="s">
        <v>29</v>
      </c>
    </row>
    <row r="101" customFormat="false" ht="15" hidden="false" customHeight="true" outlineLevel="0" collapsed="false">
      <c r="A101" s="3" t="s">
        <v>146</v>
      </c>
      <c r="B101" s="3" t="n">
        <v>38</v>
      </c>
      <c r="C101" s="3" t="s">
        <v>15</v>
      </c>
      <c r="D101" s="3" t="s">
        <v>22</v>
      </c>
      <c r="E101" s="3" t="s">
        <v>23</v>
      </c>
      <c r="F101" s="3" t="s">
        <v>28</v>
      </c>
      <c r="G101" s="3" t="n">
        <v>12</v>
      </c>
      <c r="H101" s="3" t="n">
        <v>48308</v>
      </c>
      <c r="I101" s="3" t="n">
        <v>2</v>
      </c>
      <c r="J101" s="3" t="n">
        <v>3</v>
      </c>
      <c r="K101" s="3" t="s">
        <v>19</v>
      </c>
      <c r="L101" s="3" t="n">
        <v>88</v>
      </c>
      <c r="M101" s="3" t="n">
        <v>4</v>
      </c>
      <c r="N10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6" min="16" style="1" width="2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4" t="s">
        <v>147</v>
      </c>
    </row>
    <row r="2" customFormat="false" ht="15" hidden="false" customHeight="true" outlineLevel="0" collapsed="false">
      <c r="A2" s="3" t="s">
        <v>14</v>
      </c>
      <c r="B2" s="3" t="n">
        <v>36</v>
      </c>
      <c r="C2" s="3" t="s">
        <v>15</v>
      </c>
      <c r="D2" s="3" t="s">
        <v>16</v>
      </c>
      <c r="E2" s="3" t="s">
        <v>17</v>
      </c>
      <c r="F2" s="3" t="s">
        <v>18</v>
      </c>
      <c r="G2" s="3" t="n">
        <v>5</v>
      </c>
      <c r="H2" s="3" t="n">
        <v>58235</v>
      </c>
      <c r="I2" s="3" t="n">
        <v>3</v>
      </c>
      <c r="J2" s="3" t="n">
        <v>2</v>
      </c>
      <c r="K2" s="3" t="s">
        <v>19</v>
      </c>
      <c r="L2" s="3" t="n">
        <v>95.9</v>
      </c>
      <c r="M2" s="3" t="n">
        <v>2</v>
      </c>
      <c r="N2" s="3" t="s">
        <v>19</v>
      </c>
      <c r="P2" s="5" t="s">
        <v>148</v>
      </c>
      <c r="Q2" s="3" t="n">
        <f aca="false">COUNTA(A2:A101)</f>
        <v>100</v>
      </c>
    </row>
    <row r="3" customFormat="false" ht="15" hidden="false" customHeight="true" outlineLevel="0" collapsed="false">
      <c r="A3" s="3" t="s">
        <v>20</v>
      </c>
      <c r="B3" s="3" t="n">
        <v>43</v>
      </c>
      <c r="C3" s="3" t="s">
        <v>21</v>
      </c>
      <c r="D3" s="3" t="s">
        <v>22</v>
      </c>
      <c r="E3" s="3" t="s">
        <v>23</v>
      </c>
      <c r="F3" s="3" t="s">
        <v>24</v>
      </c>
      <c r="G3" s="3" t="n">
        <v>14</v>
      </c>
      <c r="H3" s="3" t="n">
        <v>54400</v>
      </c>
      <c r="I3" s="3" t="n">
        <v>3</v>
      </c>
      <c r="J3" s="3" t="n">
        <v>2</v>
      </c>
      <c r="K3" s="3" t="s">
        <v>19</v>
      </c>
      <c r="L3" s="3" t="n">
        <v>91.2</v>
      </c>
      <c r="M3" s="3" t="n">
        <v>8</v>
      </c>
      <c r="N3" s="3" t="s">
        <v>19</v>
      </c>
      <c r="P3" s="5" t="s">
        <v>149</v>
      </c>
      <c r="Q3" s="3" t="n">
        <f aca="false">COUNTBLANK(A2:A101)</f>
        <v>0</v>
      </c>
    </row>
    <row r="4" customFormat="false" ht="15" hidden="false" customHeight="true" outlineLevel="0" collapsed="false">
      <c r="A4" s="3" t="s">
        <v>25</v>
      </c>
      <c r="B4" s="3" t="n">
        <v>31</v>
      </c>
      <c r="C4" s="3" t="s">
        <v>21</v>
      </c>
      <c r="D4" s="3" t="s">
        <v>26</v>
      </c>
      <c r="E4" s="3" t="s">
        <v>27</v>
      </c>
      <c r="F4" s="3" t="s">
        <v>28</v>
      </c>
      <c r="G4" s="3" t="n">
        <v>7</v>
      </c>
      <c r="H4" s="3" t="n">
        <v>62751</v>
      </c>
      <c r="I4" s="3" t="n">
        <v>2</v>
      </c>
      <c r="J4" s="3" t="n">
        <v>3</v>
      </c>
      <c r="K4" s="3" t="s">
        <v>29</v>
      </c>
      <c r="L4" s="3" t="n">
        <v>91.4</v>
      </c>
      <c r="M4" s="3" t="n">
        <v>2</v>
      </c>
      <c r="N4" s="3" t="s">
        <v>19</v>
      </c>
      <c r="P4" s="5" t="s">
        <v>150</v>
      </c>
      <c r="Q4" s="3" t="n">
        <f aca="false">COUNTBLANK(H2:H101)</f>
        <v>0</v>
      </c>
    </row>
    <row r="5" customFormat="false" ht="15" hidden="false" customHeight="true" outlineLevel="0" collapsed="false">
      <c r="A5" s="3" t="s">
        <v>30</v>
      </c>
      <c r="B5" s="3" t="n">
        <v>27</v>
      </c>
      <c r="C5" s="3" t="s">
        <v>21</v>
      </c>
      <c r="D5" s="3" t="s">
        <v>31</v>
      </c>
      <c r="E5" s="3" t="s">
        <v>32</v>
      </c>
      <c r="F5" s="3" t="s">
        <v>28</v>
      </c>
      <c r="G5" s="3" t="n">
        <v>5</v>
      </c>
      <c r="H5" s="3" t="n">
        <v>49837</v>
      </c>
      <c r="I5" s="3" t="n">
        <v>3</v>
      </c>
      <c r="J5" s="3" t="n">
        <v>3</v>
      </c>
      <c r="K5" s="3" t="s">
        <v>29</v>
      </c>
      <c r="L5" s="3" t="n">
        <v>96.4</v>
      </c>
      <c r="M5" s="3" t="n">
        <v>3</v>
      </c>
      <c r="N5" s="3" t="s">
        <v>29</v>
      </c>
      <c r="P5" s="5" t="s">
        <v>151</v>
      </c>
      <c r="Q5" s="3" t="n">
        <f aca="false">SUMPRODUCT((COUNTIF(A2:A101,A2:A101)&gt;1)*1)</f>
        <v>0</v>
      </c>
    </row>
    <row r="6" customFormat="false" ht="15" hidden="false" customHeight="true" outlineLevel="0" collapsed="false">
      <c r="A6" s="3" t="s">
        <v>33</v>
      </c>
      <c r="B6" s="3" t="n">
        <v>39</v>
      </c>
      <c r="C6" s="3" t="s">
        <v>15</v>
      </c>
      <c r="D6" s="3" t="s">
        <v>16</v>
      </c>
      <c r="E6" s="3" t="s">
        <v>34</v>
      </c>
      <c r="F6" s="3" t="s">
        <v>28</v>
      </c>
      <c r="G6" s="3" t="n">
        <v>11</v>
      </c>
      <c r="H6" s="3" t="n">
        <v>62344</v>
      </c>
      <c r="I6" s="3" t="n">
        <v>3</v>
      </c>
      <c r="J6" s="3" t="n">
        <v>4</v>
      </c>
      <c r="K6" s="3" t="s">
        <v>19</v>
      </c>
      <c r="L6" s="3" t="n">
        <v>96.8</v>
      </c>
      <c r="M6" s="3" t="n">
        <v>4</v>
      </c>
      <c r="N6" s="3" t="s">
        <v>19</v>
      </c>
    </row>
    <row r="7" customFormat="false" ht="15" hidden="false" customHeight="true" outlineLevel="0" collapsed="false">
      <c r="A7" s="3" t="s">
        <v>35</v>
      </c>
      <c r="B7" s="3" t="n">
        <v>31</v>
      </c>
      <c r="C7" s="3" t="s">
        <v>21</v>
      </c>
      <c r="D7" s="3" t="s">
        <v>22</v>
      </c>
      <c r="E7" s="3" t="s">
        <v>36</v>
      </c>
      <c r="F7" s="3" t="s">
        <v>24</v>
      </c>
      <c r="G7" s="3" t="n">
        <v>6</v>
      </c>
      <c r="H7" s="3" t="n">
        <v>45550</v>
      </c>
      <c r="I7" s="3" t="n">
        <v>3</v>
      </c>
      <c r="J7" s="3" t="n">
        <v>3</v>
      </c>
      <c r="K7" s="3" t="s">
        <v>19</v>
      </c>
      <c r="L7" s="3" t="n">
        <v>86.3</v>
      </c>
      <c r="M7" s="3" t="n">
        <v>2</v>
      </c>
      <c r="N7" s="3" t="s">
        <v>19</v>
      </c>
      <c r="P7" s="6" t="s">
        <v>152</v>
      </c>
    </row>
    <row r="8" customFormat="false" ht="15" hidden="false" customHeight="true" outlineLevel="0" collapsed="false">
      <c r="A8" s="3" t="s">
        <v>37</v>
      </c>
      <c r="B8" s="3" t="n">
        <v>37</v>
      </c>
      <c r="C8" s="3" t="s">
        <v>15</v>
      </c>
      <c r="D8" s="3" t="s">
        <v>22</v>
      </c>
      <c r="E8" s="3" t="s">
        <v>38</v>
      </c>
      <c r="F8" s="3" t="s">
        <v>28</v>
      </c>
      <c r="G8" s="3" t="n">
        <v>10</v>
      </c>
      <c r="H8" s="3" t="n">
        <v>65427</v>
      </c>
      <c r="I8" s="3" t="n">
        <v>2</v>
      </c>
      <c r="J8" s="3" t="n">
        <v>2</v>
      </c>
      <c r="K8" s="3" t="s">
        <v>29</v>
      </c>
      <c r="L8" s="3" t="n">
        <v>86</v>
      </c>
      <c r="M8" s="3" t="n">
        <v>4</v>
      </c>
      <c r="N8" s="3" t="s">
        <v>19</v>
      </c>
    </row>
    <row r="9" customFormat="false" ht="15" hidden="false" customHeight="true" outlineLevel="0" collapsed="false">
      <c r="A9" s="3" t="s">
        <v>39</v>
      </c>
      <c r="B9" s="3" t="n">
        <v>30</v>
      </c>
      <c r="C9" s="3" t="s">
        <v>21</v>
      </c>
      <c r="D9" s="3" t="s">
        <v>16</v>
      </c>
      <c r="E9" s="3" t="s">
        <v>40</v>
      </c>
      <c r="F9" s="3" t="s">
        <v>24</v>
      </c>
      <c r="G9" s="3" t="n">
        <v>5</v>
      </c>
      <c r="H9" s="3" t="n">
        <v>74306</v>
      </c>
      <c r="I9" s="3" t="n">
        <v>3</v>
      </c>
      <c r="J9" s="3" t="n">
        <v>1</v>
      </c>
      <c r="K9" s="3" t="s">
        <v>29</v>
      </c>
      <c r="L9" s="3" t="n">
        <v>85.4</v>
      </c>
      <c r="M9" s="3" t="n">
        <v>2</v>
      </c>
      <c r="N9" s="3" t="s">
        <v>19</v>
      </c>
    </row>
    <row r="10" customFormat="false" ht="15" hidden="false" customHeight="true" outlineLevel="0" collapsed="false">
      <c r="A10" s="3" t="s">
        <v>41</v>
      </c>
      <c r="B10" s="3" t="n">
        <v>37</v>
      </c>
      <c r="C10" s="3" t="s">
        <v>21</v>
      </c>
      <c r="D10" s="3" t="s">
        <v>42</v>
      </c>
      <c r="E10" s="3" t="s">
        <v>43</v>
      </c>
      <c r="F10" s="3" t="s">
        <v>28</v>
      </c>
      <c r="G10" s="3" t="n">
        <v>6</v>
      </c>
      <c r="H10" s="3" t="n">
        <v>48578</v>
      </c>
      <c r="I10" s="3" t="n">
        <v>2</v>
      </c>
      <c r="J10" s="3" t="n">
        <v>2</v>
      </c>
      <c r="K10" s="3" t="s">
        <v>19</v>
      </c>
      <c r="L10" s="3" t="n">
        <v>83.4</v>
      </c>
      <c r="M10" s="3" t="n">
        <v>1</v>
      </c>
      <c r="N10" s="3" t="s">
        <v>19</v>
      </c>
    </row>
    <row r="11" customFormat="false" ht="15" hidden="false" customHeight="true" outlineLevel="0" collapsed="false">
      <c r="A11" s="3" t="s">
        <v>44</v>
      </c>
      <c r="B11" s="3" t="n">
        <v>35</v>
      </c>
      <c r="C11" s="3" t="s">
        <v>15</v>
      </c>
      <c r="D11" s="3" t="s">
        <v>31</v>
      </c>
      <c r="E11" s="3" t="s">
        <v>32</v>
      </c>
      <c r="F11" s="3" t="s">
        <v>28</v>
      </c>
      <c r="G11" s="3" t="n">
        <v>6</v>
      </c>
      <c r="H11" s="3" t="n">
        <v>53487</v>
      </c>
      <c r="I11" s="3" t="n">
        <v>4</v>
      </c>
      <c r="J11" s="3" t="n">
        <v>2</v>
      </c>
      <c r="K11" s="3" t="s">
        <v>29</v>
      </c>
      <c r="L11" s="3" t="n">
        <v>92.9</v>
      </c>
      <c r="M11" s="3" t="n">
        <v>3</v>
      </c>
      <c r="N11" s="3" t="s">
        <v>29</v>
      </c>
    </row>
    <row r="12" customFormat="false" ht="15" hidden="false" customHeight="true" outlineLevel="0" collapsed="false">
      <c r="A12" s="3" t="s">
        <v>45</v>
      </c>
      <c r="B12" s="3" t="n">
        <v>44</v>
      </c>
      <c r="C12" s="3" t="s">
        <v>21</v>
      </c>
      <c r="D12" s="3" t="s">
        <v>26</v>
      </c>
      <c r="E12" s="3" t="s">
        <v>46</v>
      </c>
      <c r="F12" s="3" t="s">
        <v>24</v>
      </c>
      <c r="G12" s="3" t="n">
        <v>16</v>
      </c>
      <c r="H12" s="3" t="n">
        <v>57840</v>
      </c>
      <c r="I12" s="3" t="n">
        <v>2</v>
      </c>
      <c r="J12" s="3" t="n">
        <v>3</v>
      </c>
      <c r="K12" s="3" t="s">
        <v>29</v>
      </c>
      <c r="L12" s="3" t="n">
        <v>84.6</v>
      </c>
      <c r="M12" s="3" t="n">
        <v>6</v>
      </c>
      <c r="N12" s="3" t="s">
        <v>19</v>
      </c>
    </row>
    <row r="13" customFormat="false" ht="15" hidden="false" customHeight="true" outlineLevel="0" collapsed="false">
      <c r="A13" s="3" t="s">
        <v>47</v>
      </c>
      <c r="B13" s="3" t="n">
        <v>36</v>
      </c>
      <c r="C13" s="3" t="s">
        <v>21</v>
      </c>
      <c r="D13" s="3" t="s">
        <v>48</v>
      </c>
      <c r="E13" s="3" t="s">
        <v>49</v>
      </c>
      <c r="F13" s="3" t="s">
        <v>18</v>
      </c>
      <c r="G13" s="3" t="n">
        <v>11</v>
      </c>
      <c r="H13" s="3" t="n">
        <v>66371</v>
      </c>
      <c r="I13" s="3" t="n">
        <v>3</v>
      </c>
      <c r="J13" s="3" t="n">
        <v>2</v>
      </c>
      <c r="K13" s="3" t="s">
        <v>19</v>
      </c>
      <c r="L13" s="3" t="n">
        <v>88.9</v>
      </c>
      <c r="M13" s="3" t="n">
        <v>3</v>
      </c>
      <c r="N13" s="3" t="s">
        <v>29</v>
      </c>
    </row>
    <row r="14" customFormat="false" ht="15" hidden="false" customHeight="true" outlineLevel="0" collapsed="false">
      <c r="A14" s="3" t="s">
        <v>50</v>
      </c>
      <c r="B14" s="3" t="n">
        <v>42</v>
      </c>
      <c r="C14" s="3" t="s">
        <v>21</v>
      </c>
      <c r="D14" s="3" t="s">
        <v>22</v>
      </c>
      <c r="E14" s="3" t="s">
        <v>23</v>
      </c>
      <c r="F14" s="3" t="s">
        <v>28</v>
      </c>
      <c r="G14" s="3" t="n">
        <v>13</v>
      </c>
      <c r="H14" s="3" t="n">
        <v>60771</v>
      </c>
      <c r="I14" s="3" t="n">
        <v>3</v>
      </c>
      <c r="J14" s="3" t="n">
        <v>4</v>
      </c>
      <c r="K14" s="3" t="s">
        <v>19</v>
      </c>
      <c r="L14" s="3" t="n">
        <v>86.1</v>
      </c>
      <c r="M14" s="3" t="n">
        <v>6</v>
      </c>
      <c r="N14" s="3" t="s">
        <v>29</v>
      </c>
    </row>
    <row r="15" customFormat="false" ht="15" hidden="false" customHeight="true" outlineLevel="0" collapsed="false">
      <c r="A15" s="3" t="s">
        <v>51</v>
      </c>
      <c r="B15" s="3" t="n">
        <v>28</v>
      </c>
      <c r="C15" s="3" t="s">
        <v>15</v>
      </c>
      <c r="D15" s="3" t="s">
        <v>31</v>
      </c>
      <c r="E15" s="3" t="s">
        <v>52</v>
      </c>
      <c r="F15" s="3" t="s">
        <v>24</v>
      </c>
      <c r="G15" s="3" t="n">
        <v>7</v>
      </c>
      <c r="H15" s="3" t="n">
        <v>55839</v>
      </c>
      <c r="I15" s="3" t="n">
        <v>3</v>
      </c>
      <c r="J15" s="3" t="n">
        <v>3</v>
      </c>
      <c r="K15" s="3" t="s">
        <v>19</v>
      </c>
      <c r="L15" s="3" t="n">
        <v>94.2</v>
      </c>
      <c r="M15" s="3" t="n">
        <v>5</v>
      </c>
      <c r="N15" s="3" t="s">
        <v>29</v>
      </c>
    </row>
    <row r="16" customFormat="false" ht="15" hidden="false" customHeight="true" outlineLevel="0" collapsed="false">
      <c r="A16" s="3" t="s">
        <v>53</v>
      </c>
      <c r="B16" s="3" t="n">
        <v>24</v>
      </c>
      <c r="C16" s="3" t="s">
        <v>15</v>
      </c>
      <c r="D16" s="3" t="s">
        <v>31</v>
      </c>
      <c r="E16" s="3" t="s">
        <v>32</v>
      </c>
      <c r="F16" s="3" t="s">
        <v>54</v>
      </c>
      <c r="G16" s="3" t="n">
        <v>0</v>
      </c>
      <c r="H16" s="3" t="n">
        <v>53224</v>
      </c>
      <c r="I16" s="3" t="n">
        <v>3</v>
      </c>
      <c r="J16" s="3" t="n">
        <v>2</v>
      </c>
      <c r="K16" s="3" t="s">
        <v>19</v>
      </c>
      <c r="L16" s="3" t="n">
        <v>94.1</v>
      </c>
      <c r="M16" s="3" t="n">
        <v>0</v>
      </c>
      <c r="N16" s="3" t="s">
        <v>19</v>
      </c>
    </row>
    <row r="17" customFormat="false" ht="15" hidden="false" customHeight="true" outlineLevel="0" collapsed="false">
      <c r="A17" s="3" t="s">
        <v>55</v>
      </c>
      <c r="B17" s="3" t="n">
        <v>35</v>
      </c>
      <c r="C17" s="3" t="s">
        <v>21</v>
      </c>
      <c r="D17" s="3" t="s">
        <v>26</v>
      </c>
      <c r="E17" s="3" t="s">
        <v>27</v>
      </c>
      <c r="F17" s="3" t="s">
        <v>28</v>
      </c>
      <c r="G17" s="3" t="n">
        <v>4</v>
      </c>
      <c r="H17" s="3" t="n">
        <v>60567</v>
      </c>
      <c r="I17" s="3" t="n">
        <v>4</v>
      </c>
      <c r="J17" s="3" t="n">
        <v>2</v>
      </c>
      <c r="K17" s="3" t="s">
        <v>19</v>
      </c>
      <c r="L17" s="3" t="n">
        <v>95.2</v>
      </c>
      <c r="M17" s="3" t="n">
        <v>1</v>
      </c>
      <c r="N17" s="3" t="s">
        <v>19</v>
      </c>
    </row>
    <row r="18" customFormat="false" ht="15" hidden="false" customHeight="true" outlineLevel="0" collapsed="false">
      <c r="A18" s="3" t="s">
        <v>56</v>
      </c>
      <c r="B18" s="3" t="n">
        <v>33</v>
      </c>
      <c r="C18" s="3" t="s">
        <v>21</v>
      </c>
      <c r="D18" s="3" t="s">
        <v>48</v>
      </c>
      <c r="E18" s="3" t="s">
        <v>57</v>
      </c>
      <c r="F18" s="3" t="s">
        <v>28</v>
      </c>
      <c r="G18" s="3" t="n">
        <v>6</v>
      </c>
      <c r="H18" s="3" t="n">
        <v>89705</v>
      </c>
      <c r="I18" s="3" t="n">
        <v>2</v>
      </c>
      <c r="J18" s="3" t="n">
        <v>1</v>
      </c>
      <c r="K18" s="3" t="s">
        <v>29</v>
      </c>
      <c r="L18" s="3" t="n">
        <v>90.3</v>
      </c>
      <c r="M18" s="3" t="n">
        <v>0</v>
      </c>
      <c r="N18" s="3" t="s">
        <v>19</v>
      </c>
    </row>
    <row r="19" customFormat="false" ht="15" hidden="false" customHeight="true" outlineLevel="0" collapsed="false">
      <c r="A19" s="3" t="s">
        <v>58</v>
      </c>
      <c r="B19" s="3" t="n">
        <v>23</v>
      </c>
      <c r="C19" s="3" t="s">
        <v>21</v>
      </c>
      <c r="D19" s="3" t="s">
        <v>42</v>
      </c>
      <c r="E19" s="3" t="s">
        <v>43</v>
      </c>
      <c r="F19" s="3" t="s">
        <v>24</v>
      </c>
      <c r="G19" s="3" t="n">
        <v>1</v>
      </c>
      <c r="H19" s="3" t="n">
        <v>48911</v>
      </c>
      <c r="I19" s="3" t="n">
        <v>3</v>
      </c>
      <c r="J19" s="3" t="n">
        <v>4</v>
      </c>
      <c r="K19" s="3" t="s">
        <v>29</v>
      </c>
      <c r="L19" s="3" t="n">
        <v>88.5</v>
      </c>
      <c r="M19" s="3" t="n">
        <v>0</v>
      </c>
      <c r="N19" s="3" t="s">
        <v>29</v>
      </c>
    </row>
    <row r="20" customFormat="false" ht="15" hidden="false" customHeight="true" outlineLevel="0" collapsed="false">
      <c r="A20" s="3" t="s">
        <v>59</v>
      </c>
      <c r="B20" s="3" t="n">
        <v>35</v>
      </c>
      <c r="C20" s="3" t="s">
        <v>21</v>
      </c>
      <c r="D20" s="3" t="s">
        <v>26</v>
      </c>
      <c r="E20" s="3" t="s">
        <v>27</v>
      </c>
      <c r="F20" s="3" t="s">
        <v>18</v>
      </c>
      <c r="G20" s="3" t="n">
        <v>8</v>
      </c>
      <c r="H20" s="3" t="n">
        <v>62287</v>
      </c>
      <c r="I20" s="3" t="n">
        <v>2</v>
      </c>
      <c r="J20" s="3" t="n">
        <v>1</v>
      </c>
      <c r="K20" s="3" t="s">
        <v>19</v>
      </c>
      <c r="L20" s="3" t="n">
        <v>93.6</v>
      </c>
      <c r="M20" s="3" t="n">
        <v>7</v>
      </c>
      <c r="N20" s="3" t="s">
        <v>29</v>
      </c>
    </row>
    <row r="21" customFormat="false" ht="15" hidden="false" customHeight="true" outlineLevel="0" collapsed="false">
      <c r="A21" s="3" t="s">
        <v>60</v>
      </c>
      <c r="B21" s="3" t="n">
        <v>28</v>
      </c>
      <c r="C21" s="3" t="s">
        <v>21</v>
      </c>
      <c r="D21" s="3" t="s">
        <v>22</v>
      </c>
      <c r="E21" s="3" t="s">
        <v>38</v>
      </c>
      <c r="F21" s="3" t="s">
        <v>28</v>
      </c>
      <c r="G21" s="3" t="n">
        <v>2</v>
      </c>
      <c r="H21" s="3" t="n">
        <v>52892</v>
      </c>
      <c r="I21" s="3" t="n">
        <v>2</v>
      </c>
      <c r="J21" s="3" t="n">
        <v>1</v>
      </c>
      <c r="K21" s="3" t="s">
        <v>19</v>
      </c>
      <c r="L21" s="3" t="n">
        <v>100</v>
      </c>
      <c r="M21" s="3" t="n">
        <v>0</v>
      </c>
      <c r="N21" s="3" t="s">
        <v>29</v>
      </c>
    </row>
    <row r="22" customFormat="false" ht="15" hidden="false" customHeight="true" outlineLevel="0" collapsed="false">
      <c r="A22" s="3" t="s">
        <v>61</v>
      </c>
      <c r="B22" s="3" t="n">
        <v>25</v>
      </c>
      <c r="C22" s="3" t="s">
        <v>21</v>
      </c>
      <c r="D22" s="3" t="s">
        <v>26</v>
      </c>
      <c r="E22" s="3" t="s">
        <v>62</v>
      </c>
      <c r="F22" s="3" t="s">
        <v>24</v>
      </c>
      <c r="G22" s="3" t="n">
        <v>4</v>
      </c>
      <c r="H22" s="3" t="n">
        <v>58152</v>
      </c>
      <c r="I22" s="3" t="n">
        <v>2</v>
      </c>
      <c r="J22" s="3" t="n">
        <v>3</v>
      </c>
      <c r="K22" s="3" t="s">
        <v>29</v>
      </c>
      <c r="L22" s="3" t="n">
        <v>90.1</v>
      </c>
      <c r="M22" s="3" t="n">
        <v>4</v>
      </c>
      <c r="N22" s="3" t="s">
        <v>29</v>
      </c>
    </row>
    <row r="23" customFormat="false" ht="15" hidden="false" customHeight="true" outlineLevel="0" collapsed="false">
      <c r="A23" s="3" t="s">
        <v>63</v>
      </c>
      <c r="B23" s="3" t="n">
        <v>23</v>
      </c>
      <c r="C23" s="3" t="s">
        <v>21</v>
      </c>
      <c r="D23" s="3" t="s">
        <v>26</v>
      </c>
      <c r="E23" s="3" t="s">
        <v>62</v>
      </c>
      <c r="F23" s="3" t="s">
        <v>24</v>
      </c>
      <c r="G23" s="3" t="n">
        <v>0</v>
      </c>
      <c r="H23" s="3" t="n">
        <v>62550</v>
      </c>
      <c r="I23" s="3" t="n">
        <v>3</v>
      </c>
      <c r="J23" s="3" t="n">
        <v>3</v>
      </c>
      <c r="K23" s="3" t="s">
        <v>19</v>
      </c>
      <c r="L23" s="3" t="n">
        <v>92</v>
      </c>
      <c r="M23" s="3" t="n">
        <v>0</v>
      </c>
      <c r="N23" s="3" t="s">
        <v>19</v>
      </c>
    </row>
    <row r="24" customFormat="false" ht="15" hidden="false" customHeight="true" outlineLevel="0" collapsed="false">
      <c r="A24" s="3" t="s">
        <v>64</v>
      </c>
      <c r="B24" s="3" t="n">
        <v>36</v>
      </c>
      <c r="C24" s="3" t="s">
        <v>21</v>
      </c>
      <c r="D24" s="3" t="s">
        <v>22</v>
      </c>
      <c r="E24" s="3" t="s">
        <v>36</v>
      </c>
      <c r="F24" s="3" t="s">
        <v>24</v>
      </c>
      <c r="G24" s="3" t="n">
        <v>8</v>
      </c>
      <c r="H24" s="3" t="n">
        <v>53964</v>
      </c>
      <c r="I24" s="3" t="n">
        <v>3</v>
      </c>
      <c r="J24" s="3" t="n">
        <v>3</v>
      </c>
      <c r="K24" s="3" t="s">
        <v>29</v>
      </c>
      <c r="L24" s="3" t="n">
        <v>96.6</v>
      </c>
      <c r="M24" s="3" t="n">
        <v>1</v>
      </c>
      <c r="N24" s="3" t="s">
        <v>19</v>
      </c>
    </row>
    <row r="25" customFormat="false" ht="15" hidden="false" customHeight="true" outlineLevel="0" collapsed="false">
      <c r="A25" s="3" t="s">
        <v>65</v>
      </c>
      <c r="B25" s="3" t="n">
        <v>25</v>
      </c>
      <c r="C25" s="3" t="s">
        <v>15</v>
      </c>
      <c r="D25" s="3" t="s">
        <v>16</v>
      </c>
      <c r="E25" s="3" t="s">
        <v>34</v>
      </c>
      <c r="F25" s="3" t="s">
        <v>28</v>
      </c>
      <c r="G25" s="3" t="n">
        <v>0</v>
      </c>
      <c r="H25" s="3" t="n">
        <v>53992</v>
      </c>
      <c r="I25" s="3" t="n">
        <v>3</v>
      </c>
      <c r="J25" s="3" t="n">
        <v>4</v>
      </c>
      <c r="K25" s="3" t="s">
        <v>19</v>
      </c>
      <c r="L25" s="3" t="n">
        <v>90.8</v>
      </c>
      <c r="M25" s="3" t="n">
        <v>0</v>
      </c>
      <c r="N25" s="3" t="s">
        <v>19</v>
      </c>
    </row>
    <row r="26" customFormat="false" ht="15" hidden="false" customHeight="true" outlineLevel="0" collapsed="false">
      <c r="A26" s="3" t="s">
        <v>66</v>
      </c>
      <c r="B26" s="3" t="n">
        <v>36</v>
      </c>
      <c r="C26" s="3" t="s">
        <v>21</v>
      </c>
      <c r="D26" s="3" t="s">
        <v>48</v>
      </c>
      <c r="E26" s="3" t="s">
        <v>49</v>
      </c>
      <c r="F26" s="3" t="s">
        <v>24</v>
      </c>
      <c r="G26" s="3" t="n">
        <v>7</v>
      </c>
      <c r="H26" s="3" t="n">
        <v>69985</v>
      </c>
      <c r="I26" s="3" t="n">
        <v>3</v>
      </c>
      <c r="J26" s="3" t="n">
        <v>2</v>
      </c>
      <c r="K26" s="3" t="s">
        <v>29</v>
      </c>
      <c r="L26" s="3" t="n">
        <v>98.5</v>
      </c>
      <c r="M26" s="3" t="n">
        <v>5</v>
      </c>
      <c r="N26" s="3" t="s">
        <v>19</v>
      </c>
    </row>
    <row r="27" customFormat="false" ht="15" hidden="false" customHeight="true" outlineLevel="0" collapsed="false">
      <c r="A27" s="3" t="s">
        <v>67</v>
      </c>
      <c r="B27" s="3" t="n">
        <v>47</v>
      </c>
      <c r="C27" s="3" t="s">
        <v>21</v>
      </c>
      <c r="D27" s="3" t="s">
        <v>31</v>
      </c>
      <c r="E27" s="3" t="s">
        <v>52</v>
      </c>
      <c r="F27" s="3" t="s">
        <v>28</v>
      </c>
      <c r="G27" s="3" t="n">
        <v>19</v>
      </c>
      <c r="H27" s="3" t="n">
        <v>63913</v>
      </c>
      <c r="I27" s="3" t="n">
        <v>3</v>
      </c>
      <c r="J27" s="3" t="n">
        <v>2</v>
      </c>
      <c r="K27" s="3" t="s">
        <v>19</v>
      </c>
      <c r="L27" s="3" t="n">
        <v>86.1</v>
      </c>
      <c r="M27" s="3" t="n">
        <v>11</v>
      </c>
      <c r="N27" s="3" t="s">
        <v>19</v>
      </c>
    </row>
    <row r="28" customFormat="false" ht="15" hidden="false" customHeight="true" outlineLevel="0" collapsed="false">
      <c r="A28" s="3" t="s">
        <v>68</v>
      </c>
      <c r="B28" s="3" t="n">
        <v>32</v>
      </c>
      <c r="C28" s="3" t="s">
        <v>21</v>
      </c>
      <c r="D28" s="3" t="s">
        <v>31</v>
      </c>
      <c r="E28" s="3" t="s">
        <v>69</v>
      </c>
      <c r="F28" s="3" t="s">
        <v>18</v>
      </c>
      <c r="G28" s="3" t="n">
        <v>10</v>
      </c>
      <c r="H28" s="3" t="n">
        <v>66711</v>
      </c>
      <c r="I28" s="3" t="n">
        <v>2</v>
      </c>
      <c r="J28" s="3" t="n">
        <v>4</v>
      </c>
      <c r="K28" s="3" t="s">
        <v>19</v>
      </c>
      <c r="L28" s="3" t="n">
        <v>88.5</v>
      </c>
      <c r="M28" s="3" t="n">
        <v>4</v>
      </c>
      <c r="N28" s="3" t="s">
        <v>19</v>
      </c>
    </row>
    <row r="29" customFormat="false" ht="15" hidden="false" customHeight="true" outlineLevel="0" collapsed="false">
      <c r="A29" s="3" t="s">
        <v>70</v>
      </c>
      <c r="B29" s="3" t="n">
        <v>34</v>
      </c>
      <c r="C29" s="3" t="s">
        <v>21</v>
      </c>
      <c r="D29" s="3" t="s">
        <v>16</v>
      </c>
      <c r="E29" s="3" t="s">
        <v>17</v>
      </c>
      <c r="F29" s="3" t="s">
        <v>24</v>
      </c>
      <c r="G29" s="3" t="n">
        <v>4</v>
      </c>
      <c r="H29" s="3" t="n">
        <v>61035</v>
      </c>
      <c r="I29" s="3" t="n">
        <v>1</v>
      </c>
      <c r="J29" s="3" t="n">
        <v>3</v>
      </c>
      <c r="K29" s="3" t="s">
        <v>19</v>
      </c>
      <c r="L29" s="3" t="n">
        <v>94.1</v>
      </c>
      <c r="M29" s="3" t="n">
        <v>4</v>
      </c>
      <c r="N29" s="3" t="s">
        <v>19</v>
      </c>
    </row>
    <row r="30" customFormat="false" ht="15" hidden="false" customHeight="true" outlineLevel="0" collapsed="false">
      <c r="A30" s="3" t="s">
        <v>71</v>
      </c>
      <c r="B30" s="3" t="n">
        <v>22</v>
      </c>
      <c r="C30" s="3" t="s">
        <v>21</v>
      </c>
      <c r="D30" s="3" t="s">
        <v>26</v>
      </c>
      <c r="E30" s="3" t="s">
        <v>27</v>
      </c>
      <c r="F30" s="3" t="s">
        <v>28</v>
      </c>
      <c r="G30" s="3" t="n">
        <v>0</v>
      </c>
      <c r="H30" s="3" t="n">
        <v>56216</v>
      </c>
      <c r="I30" s="3" t="n">
        <v>3</v>
      </c>
      <c r="J30" s="3" t="n">
        <v>4</v>
      </c>
      <c r="K30" s="3" t="s">
        <v>19</v>
      </c>
      <c r="L30" s="3" t="n">
        <v>93.2</v>
      </c>
      <c r="M30" s="3" t="n">
        <v>0</v>
      </c>
      <c r="N30" s="3" t="s">
        <v>19</v>
      </c>
    </row>
    <row r="31" customFormat="false" ht="15" hidden="false" customHeight="true" outlineLevel="0" collapsed="false">
      <c r="A31" s="3" t="s">
        <v>72</v>
      </c>
      <c r="B31" s="3" t="n">
        <v>27</v>
      </c>
      <c r="C31" s="3" t="s">
        <v>21</v>
      </c>
      <c r="D31" s="3" t="s">
        <v>26</v>
      </c>
      <c r="E31" s="3" t="s">
        <v>46</v>
      </c>
      <c r="F31" s="3" t="s">
        <v>18</v>
      </c>
      <c r="G31" s="3" t="n">
        <v>3</v>
      </c>
      <c r="H31" s="3" t="n">
        <v>47199</v>
      </c>
      <c r="I31" s="3" t="n">
        <v>4</v>
      </c>
      <c r="J31" s="3" t="n">
        <v>2</v>
      </c>
      <c r="K31" s="3" t="s">
        <v>19</v>
      </c>
      <c r="L31" s="3" t="n">
        <v>93</v>
      </c>
      <c r="M31" s="3" t="n">
        <v>0</v>
      </c>
      <c r="N31" s="3" t="s">
        <v>19</v>
      </c>
    </row>
    <row r="32" customFormat="false" ht="15" hidden="false" customHeight="true" outlineLevel="0" collapsed="false">
      <c r="A32" s="3" t="s">
        <v>73</v>
      </c>
      <c r="B32" s="3" t="n">
        <v>34</v>
      </c>
      <c r="C32" s="3" t="s">
        <v>15</v>
      </c>
      <c r="D32" s="3" t="s">
        <v>42</v>
      </c>
      <c r="E32" s="3" t="s">
        <v>74</v>
      </c>
      <c r="F32" s="3" t="s">
        <v>54</v>
      </c>
      <c r="G32" s="3" t="n">
        <v>11</v>
      </c>
      <c r="H32" s="3" t="n">
        <v>59085</v>
      </c>
      <c r="I32" s="3" t="n">
        <v>4</v>
      </c>
      <c r="J32" s="3" t="n">
        <v>2</v>
      </c>
      <c r="K32" s="3" t="s">
        <v>29</v>
      </c>
      <c r="L32" s="3" t="n">
        <v>98.5</v>
      </c>
      <c r="M32" s="3" t="n">
        <v>5</v>
      </c>
      <c r="N32" s="3" t="s">
        <v>19</v>
      </c>
    </row>
    <row r="33" customFormat="false" ht="15" hidden="false" customHeight="true" outlineLevel="0" collapsed="false">
      <c r="A33" s="3" t="s">
        <v>75</v>
      </c>
      <c r="B33" s="3" t="n">
        <v>23</v>
      </c>
      <c r="C33" s="3" t="s">
        <v>21</v>
      </c>
      <c r="D33" s="3" t="s">
        <v>48</v>
      </c>
      <c r="E33" s="3" t="s">
        <v>76</v>
      </c>
      <c r="F33" s="3" t="s">
        <v>18</v>
      </c>
      <c r="G33" s="3" t="n">
        <v>0</v>
      </c>
      <c r="H33" s="3" t="n">
        <v>59348</v>
      </c>
      <c r="I33" s="3" t="n">
        <v>1</v>
      </c>
      <c r="J33" s="3" t="n">
        <v>3</v>
      </c>
      <c r="K33" s="3" t="s">
        <v>29</v>
      </c>
      <c r="L33" s="3" t="n">
        <v>94.3</v>
      </c>
      <c r="M33" s="3" t="n">
        <v>0</v>
      </c>
      <c r="N33" s="3" t="s">
        <v>29</v>
      </c>
    </row>
    <row r="34" customFormat="false" ht="15" hidden="false" customHeight="true" outlineLevel="0" collapsed="false">
      <c r="A34" s="3" t="s">
        <v>77</v>
      </c>
      <c r="B34" s="3" t="n">
        <v>35</v>
      </c>
      <c r="C34" s="3" t="s">
        <v>15</v>
      </c>
      <c r="D34" s="3" t="s">
        <v>26</v>
      </c>
      <c r="E34" s="3" t="s">
        <v>46</v>
      </c>
      <c r="F34" s="3" t="s">
        <v>24</v>
      </c>
      <c r="G34" s="3" t="n">
        <v>10</v>
      </c>
      <c r="H34" s="3" t="n">
        <v>57282</v>
      </c>
      <c r="I34" s="3" t="n">
        <v>2</v>
      </c>
      <c r="J34" s="3" t="n">
        <v>3</v>
      </c>
      <c r="K34" s="3" t="s">
        <v>29</v>
      </c>
      <c r="L34" s="3" t="n">
        <v>91.4</v>
      </c>
      <c r="M34" s="3" t="n">
        <v>5</v>
      </c>
      <c r="N34" s="3" t="s">
        <v>29</v>
      </c>
    </row>
    <row r="35" customFormat="false" ht="15" hidden="false" customHeight="true" outlineLevel="0" collapsed="false">
      <c r="A35" s="3" t="s">
        <v>78</v>
      </c>
      <c r="B35" s="3" t="n">
        <v>22</v>
      </c>
      <c r="C35" s="3" t="s">
        <v>21</v>
      </c>
      <c r="D35" s="3" t="s">
        <v>31</v>
      </c>
      <c r="E35" s="3" t="s">
        <v>52</v>
      </c>
      <c r="F35" s="3" t="s">
        <v>24</v>
      </c>
      <c r="G35" s="3" t="n">
        <v>0</v>
      </c>
      <c r="H35" s="3" t="n">
        <v>46860</v>
      </c>
      <c r="I35" s="3" t="n">
        <v>3</v>
      </c>
      <c r="J35" s="3" t="n">
        <v>4</v>
      </c>
      <c r="K35" s="3" t="s">
        <v>19</v>
      </c>
      <c r="L35" s="3" t="n">
        <v>91.7</v>
      </c>
      <c r="M35" s="3" t="n">
        <v>0</v>
      </c>
      <c r="N35" s="3" t="s">
        <v>19</v>
      </c>
    </row>
    <row r="36" customFormat="false" ht="15" hidden="false" customHeight="true" outlineLevel="0" collapsed="false">
      <c r="A36" s="3" t="s">
        <v>79</v>
      </c>
      <c r="B36" s="3" t="n">
        <v>33</v>
      </c>
      <c r="C36" s="3" t="s">
        <v>15</v>
      </c>
      <c r="D36" s="3" t="s">
        <v>42</v>
      </c>
      <c r="E36" s="3" t="s">
        <v>74</v>
      </c>
      <c r="F36" s="3" t="s">
        <v>28</v>
      </c>
      <c r="G36" s="3" t="n">
        <v>11</v>
      </c>
      <c r="H36" s="3" t="n">
        <v>65667</v>
      </c>
      <c r="I36" s="3" t="n">
        <v>4</v>
      </c>
      <c r="J36" s="3" t="n">
        <v>4</v>
      </c>
      <c r="K36" s="3" t="s">
        <v>19</v>
      </c>
      <c r="L36" s="3" t="n">
        <v>94</v>
      </c>
      <c r="M36" s="3" t="n">
        <v>3</v>
      </c>
      <c r="N36" s="3" t="s">
        <v>19</v>
      </c>
    </row>
    <row r="37" customFormat="false" ht="15" hidden="false" customHeight="true" outlineLevel="0" collapsed="false">
      <c r="A37" s="3" t="s">
        <v>80</v>
      </c>
      <c r="B37" s="3" t="n">
        <v>37</v>
      </c>
      <c r="C37" s="3" t="s">
        <v>15</v>
      </c>
      <c r="D37" s="3" t="s">
        <v>26</v>
      </c>
      <c r="E37" s="3" t="s">
        <v>46</v>
      </c>
      <c r="F37" s="3" t="s">
        <v>24</v>
      </c>
      <c r="G37" s="3" t="n">
        <v>9</v>
      </c>
      <c r="H37" s="3" t="n">
        <v>48820</v>
      </c>
      <c r="I37" s="3" t="n">
        <v>2</v>
      </c>
      <c r="J37" s="3" t="n">
        <v>3</v>
      </c>
      <c r="K37" s="3" t="s">
        <v>19</v>
      </c>
      <c r="L37" s="3" t="n">
        <v>93.6</v>
      </c>
      <c r="M37" s="3" t="n">
        <v>3</v>
      </c>
      <c r="N37" s="3" t="s">
        <v>19</v>
      </c>
    </row>
    <row r="38" customFormat="false" ht="15" hidden="false" customHeight="true" outlineLevel="0" collapsed="false">
      <c r="A38" s="3" t="s">
        <v>81</v>
      </c>
      <c r="B38" s="3" t="n">
        <v>44</v>
      </c>
      <c r="C38" s="3" t="s">
        <v>21</v>
      </c>
      <c r="D38" s="3" t="s">
        <v>16</v>
      </c>
      <c r="E38" s="3" t="s">
        <v>17</v>
      </c>
      <c r="F38" s="3" t="s">
        <v>18</v>
      </c>
      <c r="G38" s="3" t="n">
        <v>12</v>
      </c>
      <c r="H38" s="3" t="n">
        <v>65275</v>
      </c>
      <c r="I38" s="3" t="n">
        <v>3</v>
      </c>
      <c r="J38" s="3" t="n">
        <v>5</v>
      </c>
      <c r="K38" s="3" t="s">
        <v>29</v>
      </c>
      <c r="L38" s="3" t="n">
        <v>92.3</v>
      </c>
      <c r="M38" s="3" t="n">
        <v>6</v>
      </c>
      <c r="N38" s="3" t="s">
        <v>19</v>
      </c>
    </row>
    <row r="39" customFormat="false" ht="15" hidden="false" customHeight="true" outlineLevel="0" collapsed="false">
      <c r="A39" s="3" t="s">
        <v>82</v>
      </c>
      <c r="B39" s="3" t="n">
        <v>42</v>
      </c>
      <c r="C39" s="3" t="s">
        <v>15</v>
      </c>
      <c r="D39" s="3" t="s">
        <v>16</v>
      </c>
      <c r="E39" s="3" t="s">
        <v>34</v>
      </c>
      <c r="F39" s="3" t="s">
        <v>24</v>
      </c>
      <c r="G39" s="3" t="n">
        <v>10</v>
      </c>
      <c r="H39" s="3" t="n">
        <v>57641</v>
      </c>
      <c r="I39" s="3" t="n">
        <v>1</v>
      </c>
      <c r="J39" s="3" t="n">
        <v>2</v>
      </c>
      <c r="K39" s="3" t="s">
        <v>29</v>
      </c>
      <c r="L39" s="3" t="n">
        <v>90.5</v>
      </c>
      <c r="M39" s="3" t="n">
        <v>3</v>
      </c>
      <c r="N39" s="3" t="s">
        <v>19</v>
      </c>
    </row>
    <row r="40" customFormat="false" ht="15" hidden="false" customHeight="true" outlineLevel="0" collapsed="false">
      <c r="A40" s="3" t="s">
        <v>83</v>
      </c>
      <c r="B40" s="3" t="n">
        <v>42</v>
      </c>
      <c r="C40" s="3" t="s">
        <v>21</v>
      </c>
      <c r="D40" s="3" t="s">
        <v>31</v>
      </c>
      <c r="E40" s="3" t="s">
        <v>69</v>
      </c>
      <c r="F40" s="3" t="s">
        <v>28</v>
      </c>
      <c r="G40" s="3" t="n">
        <v>9</v>
      </c>
      <c r="H40" s="3" t="n">
        <v>69142</v>
      </c>
      <c r="I40" s="3" t="n">
        <v>4</v>
      </c>
      <c r="J40" s="3" t="n">
        <v>2</v>
      </c>
      <c r="K40" s="3" t="s">
        <v>19</v>
      </c>
      <c r="L40" s="3" t="n">
        <v>100</v>
      </c>
      <c r="M40" s="3" t="n">
        <v>5</v>
      </c>
      <c r="N40" s="3" t="s">
        <v>19</v>
      </c>
    </row>
    <row r="41" customFormat="false" ht="15" hidden="false" customHeight="true" outlineLevel="0" collapsed="false">
      <c r="A41" s="3" t="s">
        <v>84</v>
      </c>
      <c r="B41" s="3" t="n">
        <v>45</v>
      </c>
      <c r="C41" s="3" t="s">
        <v>15</v>
      </c>
      <c r="D41" s="3" t="s">
        <v>22</v>
      </c>
      <c r="E41" s="3" t="s">
        <v>38</v>
      </c>
      <c r="F41" s="3" t="s">
        <v>24</v>
      </c>
      <c r="G41" s="3" t="n">
        <v>14</v>
      </c>
      <c r="H41" s="3" t="n">
        <v>68921</v>
      </c>
      <c r="I41" s="3" t="n">
        <v>2</v>
      </c>
      <c r="J41" s="3" t="n">
        <v>3</v>
      </c>
      <c r="K41" s="3" t="s">
        <v>19</v>
      </c>
      <c r="L41" s="3" t="n">
        <v>93.8</v>
      </c>
      <c r="M41" s="3" t="n">
        <v>5</v>
      </c>
      <c r="N41" s="3" t="s">
        <v>19</v>
      </c>
    </row>
    <row r="42" customFormat="false" ht="15" hidden="false" customHeight="true" outlineLevel="0" collapsed="false">
      <c r="A42" s="3" t="s">
        <v>85</v>
      </c>
      <c r="B42" s="3" t="n">
        <v>37</v>
      </c>
      <c r="C42" s="3" t="s">
        <v>21</v>
      </c>
      <c r="D42" s="3" t="s">
        <v>31</v>
      </c>
      <c r="E42" s="3" t="s">
        <v>32</v>
      </c>
      <c r="F42" s="3" t="s">
        <v>28</v>
      </c>
      <c r="G42" s="3" t="n">
        <v>8</v>
      </c>
      <c r="H42" s="3" t="n">
        <v>60655</v>
      </c>
      <c r="I42" s="3" t="n">
        <v>4</v>
      </c>
      <c r="J42" s="3" t="n">
        <v>2</v>
      </c>
      <c r="K42" s="3" t="s">
        <v>29</v>
      </c>
      <c r="L42" s="3" t="n">
        <v>77.2</v>
      </c>
      <c r="M42" s="3" t="n">
        <v>1</v>
      </c>
      <c r="N42" s="3" t="s">
        <v>19</v>
      </c>
    </row>
    <row r="43" customFormat="false" ht="15" hidden="false" customHeight="true" outlineLevel="0" collapsed="false">
      <c r="A43" s="3" t="s">
        <v>86</v>
      </c>
      <c r="B43" s="3" t="n">
        <v>53</v>
      </c>
      <c r="C43" s="3" t="s">
        <v>21</v>
      </c>
      <c r="D43" s="3" t="s">
        <v>16</v>
      </c>
      <c r="E43" s="3" t="s">
        <v>17</v>
      </c>
      <c r="F43" s="3" t="s">
        <v>28</v>
      </c>
      <c r="G43" s="3" t="n">
        <v>20</v>
      </c>
      <c r="H43" s="3" t="n">
        <v>73397</v>
      </c>
      <c r="I43" s="3" t="n">
        <v>3</v>
      </c>
      <c r="J43" s="3" t="n">
        <v>3</v>
      </c>
      <c r="K43" s="3" t="s">
        <v>19</v>
      </c>
      <c r="L43" s="3" t="n">
        <v>95.3</v>
      </c>
      <c r="M43" s="3" t="n">
        <v>9</v>
      </c>
      <c r="N43" s="3" t="s">
        <v>19</v>
      </c>
    </row>
    <row r="44" customFormat="false" ht="15" hidden="false" customHeight="true" outlineLevel="0" collapsed="false">
      <c r="A44" s="3" t="s">
        <v>87</v>
      </c>
      <c r="B44" s="3" t="n">
        <v>41</v>
      </c>
      <c r="C44" s="3" t="s">
        <v>21</v>
      </c>
      <c r="D44" s="3" t="s">
        <v>31</v>
      </c>
      <c r="E44" s="3" t="s">
        <v>32</v>
      </c>
      <c r="F44" s="3" t="s">
        <v>24</v>
      </c>
      <c r="G44" s="3" t="n">
        <v>16</v>
      </c>
      <c r="H44" s="3" t="n">
        <v>60629</v>
      </c>
      <c r="I44" s="3" t="n">
        <v>4</v>
      </c>
      <c r="J44" s="3" t="n">
        <v>3</v>
      </c>
      <c r="K44" s="3" t="s">
        <v>19</v>
      </c>
      <c r="L44" s="3" t="n">
        <v>99.8</v>
      </c>
      <c r="M44" s="3" t="n">
        <v>10</v>
      </c>
      <c r="N44" s="3" t="s">
        <v>19</v>
      </c>
    </row>
    <row r="45" customFormat="false" ht="15" hidden="false" customHeight="true" outlineLevel="0" collapsed="false">
      <c r="A45" s="3" t="s">
        <v>88</v>
      </c>
      <c r="B45" s="3" t="n">
        <v>26</v>
      </c>
      <c r="C45" s="3" t="s">
        <v>21</v>
      </c>
      <c r="D45" s="3" t="s">
        <v>48</v>
      </c>
      <c r="E45" s="3" t="s">
        <v>89</v>
      </c>
      <c r="F45" s="3" t="s">
        <v>24</v>
      </c>
      <c r="G45" s="3" t="n">
        <v>1</v>
      </c>
      <c r="H45" s="3" t="n">
        <v>89991</v>
      </c>
      <c r="I45" s="3" t="n">
        <v>1</v>
      </c>
      <c r="J45" s="3" t="n">
        <v>2</v>
      </c>
      <c r="K45" s="3" t="s">
        <v>29</v>
      </c>
      <c r="L45" s="3" t="n">
        <v>87.9</v>
      </c>
      <c r="M45" s="3" t="n">
        <v>0</v>
      </c>
      <c r="N45" s="3" t="s">
        <v>19</v>
      </c>
    </row>
    <row r="46" customFormat="false" ht="15" hidden="false" customHeight="true" outlineLevel="0" collapsed="false">
      <c r="A46" s="3" t="s">
        <v>90</v>
      </c>
      <c r="B46" s="3" t="n">
        <v>32</v>
      </c>
      <c r="C46" s="3" t="s">
        <v>15</v>
      </c>
      <c r="D46" s="3" t="s">
        <v>26</v>
      </c>
      <c r="E46" s="3" t="s">
        <v>27</v>
      </c>
      <c r="F46" s="3" t="s">
        <v>24</v>
      </c>
      <c r="G46" s="3" t="n">
        <v>5</v>
      </c>
      <c r="H46" s="3" t="n">
        <v>64540</v>
      </c>
      <c r="I46" s="3" t="n">
        <v>3</v>
      </c>
      <c r="J46" s="3" t="n">
        <v>3</v>
      </c>
      <c r="K46" s="3" t="s">
        <v>19</v>
      </c>
      <c r="L46" s="3" t="n">
        <v>91.6</v>
      </c>
      <c r="M46" s="3" t="n">
        <v>3</v>
      </c>
      <c r="N46" s="3" t="s">
        <v>19</v>
      </c>
    </row>
    <row r="47" customFormat="false" ht="15" hidden="false" customHeight="true" outlineLevel="0" collapsed="false">
      <c r="A47" s="3" t="s">
        <v>91</v>
      </c>
      <c r="B47" s="3" t="n">
        <v>27</v>
      </c>
      <c r="C47" s="3" t="s">
        <v>21</v>
      </c>
      <c r="D47" s="3" t="s">
        <v>48</v>
      </c>
      <c r="E47" s="3" t="s">
        <v>57</v>
      </c>
      <c r="F47" s="3" t="s">
        <v>24</v>
      </c>
      <c r="G47" s="3" t="n">
        <v>0</v>
      </c>
      <c r="H47" s="3" t="n">
        <v>84217</v>
      </c>
      <c r="I47" s="3" t="n">
        <v>3</v>
      </c>
      <c r="J47" s="3" t="n">
        <v>3</v>
      </c>
      <c r="K47" s="3" t="s">
        <v>29</v>
      </c>
      <c r="L47" s="3" t="n">
        <v>96.5</v>
      </c>
      <c r="M47" s="3" t="n">
        <v>0</v>
      </c>
      <c r="N47" s="3" t="s">
        <v>19</v>
      </c>
    </row>
    <row r="48" customFormat="false" ht="15" hidden="false" customHeight="true" outlineLevel="0" collapsed="false">
      <c r="A48" s="3" t="s">
        <v>92</v>
      </c>
      <c r="B48" s="3" t="n">
        <v>32</v>
      </c>
      <c r="C48" s="3" t="s">
        <v>21</v>
      </c>
      <c r="D48" s="3" t="s">
        <v>48</v>
      </c>
      <c r="E48" s="3" t="s">
        <v>76</v>
      </c>
      <c r="F48" s="3" t="s">
        <v>24</v>
      </c>
      <c r="G48" s="3" t="n">
        <v>4</v>
      </c>
      <c r="H48" s="3" t="n">
        <v>65001</v>
      </c>
      <c r="I48" s="3" t="n">
        <v>3</v>
      </c>
      <c r="J48" s="3" t="n">
        <v>1</v>
      </c>
      <c r="K48" s="3" t="s">
        <v>19</v>
      </c>
      <c r="L48" s="3" t="n">
        <v>98.2</v>
      </c>
      <c r="M48" s="3" t="n">
        <v>2</v>
      </c>
      <c r="N48" s="3" t="s">
        <v>19</v>
      </c>
    </row>
    <row r="49" customFormat="false" ht="15" hidden="false" customHeight="true" outlineLevel="0" collapsed="false">
      <c r="A49" s="3" t="s">
        <v>93</v>
      </c>
      <c r="B49" s="3" t="n">
        <v>36</v>
      </c>
      <c r="C49" s="3" t="s">
        <v>15</v>
      </c>
      <c r="D49" s="3" t="s">
        <v>31</v>
      </c>
      <c r="E49" s="3" t="s">
        <v>69</v>
      </c>
      <c r="F49" s="3" t="s">
        <v>54</v>
      </c>
      <c r="G49" s="3" t="n">
        <v>1</v>
      </c>
      <c r="H49" s="3" t="n">
        <v>71289</v>
      </c>
      <c r="I49" s="3" t="n">
        <v>1</v>
      </c>
      <c r="J49" s="3" t="n">
        <v>2</v>
      </c>
      <c r="K49" s="3" t="s">
        <v>19</v>
      </c>
      <c r="L49" s="3" t="n">
        <v>100</v>
      </c>
      <c r="M49" s="3" t="n">
        <v>1</v>
      </c>
      <c r="N49" s="3" t="s">
        <v>19</v>
      </c>
    </row>
    <row r="50" customFormat="false" ht="15" hidden="false" customHeight="true" outlineLevel="0" collapsed="false">
      <c r="A50" s="3" t="s">
        <v>94</v>
      </c>
      <c r="B50" s="3" t="n">
        <v>35</v>
      </c>
      <c r="C50" s="3" t="s">
        <v>15</v>
      </c>
      <c r="D50" s="3" t="s">
        <v>48</v>
      </c>
      <c r="E50" s="3" t="s">
        <v>76</v>
      </c>
      <c r="F50" s="3" t="s">
        <v>24</v>
      </c>
      <c r="G50" s="3" t="n">
        <v>13</v>
      </c>
      <c r="H50" s="3" t="n">
        <v>74617</v>
      </c>
      <c r="I50" s="3" t="n">
        <v>4</v>
      </c>
      <c r="J50" s="3" t="n">
        <v>3</v>
      </c>
      <c r="K50" s="3" t="s">
        <v>19</v>
      </c>
      <c r="L50" s="3" t="n">
        <v>94.6</v>
      </c>
      <c r="M50" s="3" t="n">
        <v>5</v>
      </c>
      <c r="N50" s="3" t="s">
        <v>19</v>
      </c>
    </row>
    <row r="51" customFormat="false" ht="15" hidden="false" customHeight="true" outlineLevel="0" collapsed="false">
      <c r="A51" s="3" t="s">
        <v>95</v>
      </c>
      <c r="B51" s="3" t="n">
        <v>44</v>
      </c>
      <c r="C51" s="3" t="s">
        <v>15</v>
      </c>
      <c r="D51" s="3" t="s">
        <v>42</v>
      </c>
      <c r="E51" s="3" t="s">
        <v>43</v>
      </c>
      <c r="F51" s="3" t="s">
        <v>28</v>
      </c>
      <c r="G51" s="3" t="n">
        <v>11</v>
      </c>
      <c r="H51" s="3" t="n">
        <v>47157</v>
      </c>
      <c r="I51" s="3" t="n">
        <v>3</v>
      </c>
      <c r="J51" s="3" t="n">
        <v>2</v>
      </c>
      <c r="K51" s="3" t="s">
        <v>19</v>
      </c>
      <c r="L51" s="3" t="n">
        <v>84.9</v>
      </c>
      <c r="M51" s="3" t="n">
        <v>6</v>
      </c>
      <c r="N51" s="3" t="s">
        <v>19</v>
      </c>
    </row>
    <row r="52" customFormat="false" ht="15" hidden="false" customHeight="true" outlineLevel="0" collapsed="false">
      <c r="A52" s="3" t="s">
        <v>96</v>
      </c>
      <c r="B52" s="3" t="n">
        <v>27</v>
      </c>
      <c r="C52" s="3" t="s">
        <v>15</v>
      </c>
      <c r="D52" s="3" t="s">
        <v>26</v>
      </c>
      <c r="E52" s="3" t="s">
        <v>27</v>
      </c>
      <c r="F52" s="3" t="s">
        <v>28</v>
      </c>
      <c r="G52" s="3" t="n">
        <v>0</v>
      </c>
      <c r="H52" s="3" t="n">
        <v>58628</v>
      </c>
      <c r="I52" s="3" t="n">
        <v>3</v>
      </c>
      <c r="J52" s="3" t="n">
        <v>2</v>
      </c>
      <c r="K52" s="3" t="s">
        <v>29</v>
      </c>
      <c r="L52" s="3" t="n">
        <v>89.3</v>
      </c>
      <c r="M52" s="3" t="n">
        <v>0</v>
      </c>
      <c r="N52" s="3" t="s">
        <v>19</v>
      </c>
    </row>
    <row r="53" customFormat="false" ht="15" hidden="false" customHeight="true" outlineLevel="0" collapsed="false">
      <c r="A53" s="3" t="s">
        <v>97</v>
      </c>
      <c r="B53" s="3" t="n">
        <v>44</v>
      </c>
      <c r="C53" s="3" t="s">
        <v>15</v>
      </c>
      <c r="D53" s="3" t="s">
        <v>48</v>
      </c>
      <c r="E53" s="3" t="s">
        <v>76</v>
      </c>
      <c r="F53" s="3" t="s">
        <v>54</v>
      </c>
      <c r="G53" s="3" t="n">
        <v>10</v>
      </c>
      <c r="H53" s="3" t="n">
        <v>66252</v>
      </c>
      <c r="I53" s="3" t="n">
        <v>3</v>
      </c>
      <c r="J53" s="3" t="n">
        <v>2</v>
      </c>
      <c r="K53" s="3" t="s">
        <v>19</v>
      </c>
      <c r="L53" s="3" t="n">
        <v>86.4</v>
      </c>
      <c r="M53" s="3" t="n">
        <v>4</v>
      </c>
      <c r="N53" s="3" t="s">
        <v>29</v>
      </c>
    </row>
    <row r="54" customFormat="false" ht="15" hidden="false" customHeight="true" outlineLevel="0" collapsed="false">
      <c r="A54" s="3" t="s">
        <v>98</v>
      </c>
      <c r="B54" s="3" t="n">
        <v>38</v>
      </c>
      <c r="C54" s="3" t="s">
        <v>15</v>
      </c>
      <c r="D54" s="3" t="s">
        <v>42</v>
      </c>
      <c r="E54" s="3" t="s">
        <v>74</v>
      </c>
      <c r="F54" s="3" t="s">
        <v>24</v>
      </c>
      <c r="G54" s="3" t="n">
        <v>5</v>
      </c>
      <c r="H54" s="3" t="n">
        <v>64161</v>
      </c>
      <c r="I54" s="3" t="n">
        <v>1</v>
      </c>
      <c r="J54" s="3" t="n">
        <v>3</v>
      </c>
      <c r="K54" s="3" t="s">
        <v>19</v>
      </c>
      <c r="L54" s="3" t="n">
        <v>100</v>
      </c>
      <c r="M54" s="3" t="n">
        <v>2</v>
      </c>
      <c r="N54" s="3" t="s">
        <v>19</v>
      </c>
    </row>
    <row r="55" customFormat="false" ht="15" hidden="false" customHeight="true" outlineLevel="0" collapsed="false">
      <c r="A55" s="3" t="s">
        <v>99</v>
      </c>
      <c r="B55" s="3" t="n">
        <v>47</v>
      </c>
      <c r="C55" s="3" t="s">
        <v>21</v>
      </c>
      <c r="D55" s="3" t="s">
        <v>26</v>
      </c>
      <c r="E55" s="3" t="s">
        <v>46</v>
      </c>
      <c r="F55" s="3" t="s">
        <v>24</v>
      </c>
      <c r="G55" s="3" t="n">
        <v>12</v>
      </c>
      <c r="H55" s="3" t="n">
        <v>60650</v>
      </c>
      <c r="I55" s="3" t="n">
        <v>3</v>
      </c>
      <c r="J55" s="3" t="n">
        <v>1</v>
      </c>
      <c r="K55" s="3" t="s">
        <v>19</v>
      </c>
      <c r="L55" s="3" t="n">
        <v>87.5</v>
      </c>
      <c r="M55" s="3" t="n">
        <v>6</v>
      </c>
      <c r="N55" s="3" t="s">
        <v>19</v>
      </c>
    </row>
    <row r="56" customFormat="false" ht="15" hidden="false" customHeight="true" outlineLevel="0" collapsed="false">
      <c r="A56" s="3" t="s">
        <v>100</v>
      </c>
      <c r="B56" s="3" t="n">
        <v>33</v>
      </c>
      <c r="C56" s="3" t="s">
        <v>21</v>
      </c>
      <c r="D56" s="3" t="s">
        <v>42</v>
      </c>
      <c r="E56" s="3" t="s">
        <v>43</v>
      </c>
      <c r="F56" s="3" t="s">
        <v>28</v>
      </c>
      <c r="G56" s="3" t="n">
        <v>2</v>
      </c>
      <c r="H56" s="3" t="n">
        <v>46889</v>
      </c>
      <c r="I56" s="3" t="n">
        <v>2</v>
      </c>
      <c r="J56" s="3" t="n">
        <v>1</v>
      </c>
      <c r="K56" s="3" t="s">
        <v>19</v>
      </c>
      <c r="L56" s="3" t="n">
        <v>93.7</v>
      </c>
      <c r="M56" s="3" t="n">
        <v>2</v>
      </c>
      <c r="N56" s="3" t="s">
        <v>19</v>
      </c>
    </row>
    <row r="57" customFormat="false" ht="15" hidden="false" customHeight="true" outlineLevel="0" collapsed="false">
      <c r="A57" s="3" t="s">
        <v>101</v>
      </c>
      <c r="B57" s="3" t="n">
        <v>37</v>
      </c>
      <c r="C57" s="3" t="s">
        <v>15</v>
      </c>
      <c r="D57" s="3" t="s">
        <v>31</v>
      </c>
      <c r="E57" s="3" t="s">
        <v>69</v>
      </c>
      <c r="F57" s="3" t="s">
        <v>24</v>
      </c>
      <c r="G57" s="3" t="n">
        <v>10</v>
      </c>
      <c r="H57" s="3" t="n">
        <v>76406</v>
      </c>
      <c r="I57" s="3" t="n">
        <v>2</v>
      </c>
      <c r="J57" s="3" t="n">
        <v>2</v>
      </c>
      <c r="K57" s="3" t="s">
        <v>29</v>
      </c>
      <c r="L57" s="3" t="n">
        <v>96</v>
      </c>
      <c r="M57" s="3" t="n">
        <v>6</v>
      </c>
      <c r="N57" s="3" t="s">
        <v>29</v>
      </c>
    </row>
    <row r="58" customFormat="false" ht="15" hidden="false" customHeight="true" outlineLevel="0" collapsed="false">
      <c r="A58" s="3" t="s">
        <v>102</v>
      </c>
      <c r="B58" s="3" t="n">
        <v>30</v>
      </c>
      <c r="C58" s="3" t="s">
        <v>21</v>
      </c>
      <c r="D58" s="3" t="s">
        <v>48</v>
      </c>
      <c r="E58" s="3" t="s">
        <v>76</v>
      </c>
      <c r="F58" s="3" t="s">
        <v>18</v>
      </c>
      <c r="G58" s="3" t="n">
        <v>4</v>
      </c>
      <c r="H58" s="3" t="n">
        <v>65470</v>
      </c>
      <c r="I58" s="3" t="n">
        <v>1</v>
      </c>
      <c r="J58" s="3" t="n">
        <v>2</v>
      </c>
      <c r="K58" s="3" t="s">
        <v>19</v>
      </c>
      <c r="L58" s="3" t="n">
        <v>91</v>
      </c>
      <c r="M58" s="3" t="n">
        <v>0</v>
      </c>
      <c r="N58" s="3" t="s">
        <v>19</v>
      </c>
    </row>
    <row r="59" customFormat="false" ht="15" hidden="false" customHeight="true" outlineLevel="0" collapsed="false">
      <c r="A59" s="3" t="s">
        <v>103</v>
      </c>
      <c r="B59" s="3" t="n">
        <v>32</v>
      </c>
      <c r="C59" s="3" t="s">
        <v>21</v>
      </c>
      <c r="D59" s="3" t="s">
        <v>26</v>
      </c>
      <c r="E59" s="3" t="s">
        <v>46</v>
      </c>
      <c r="F59" s="3" t="s">
        <v>28</v>
      </c>
      <c r="G59" s="3" t="n">
        <v>3</v>
      </c>
      <c r="H59" s="3" t="n">
        <v>49934</v>
      </c>
      <c r="I59" s="3" t="n">
        <v>2</v>
      </c>
      <c r="J59" s="3" t="n">
        <v>3</v>
      </c>
      <c r="K59" s="3" t="s">
        <v>29</v>
      </c>
      <c r="L59" s="3" t="n">
        <v>95.5</v>
      </c>
      <c r="M59" s="3" t="n">
        <v>0</v>
      </c>
      <c r="N59" s="3" t="s">
        <v>19</v>
      </c>
    </row>
    <row r="60" customFormat="false" ht="15" hidden="false" customHeight="true" outlineLevel="0" collapsed="false">
      <c r="A60" s="3" t="s">
        <v>104</v>
      </c>
      <c r="B60" s="3" t="n">
        <v>33</v>
      </c>
      <c r="C60" s="3" t="s">
        <v>21</v>
      </c>
      <c r="D60" s="3" t="s">
        <v>48</v>
      </c>
      <c r="E60" s="3" t="s">
        <v>57</v>
      </c>
      <c r="F60" s="3" t="s">
        <v>28</v>
      </c>
      <c r="G60" s="3" t="n">
        <v>6</v>
      </c>
      <c r="H60" s="3" t="n">
        <v>89515</v>
      </c>
      <c r="I60" s="3" t="n">
        <v>4</v>
      </c>
      <c r="J60" s="3" t="n">
        <v>1</v>
      </c>
      <c r="K60" s="3" t="s">
        <v>19</v>
      </c>
      <c r="L60" s="3" t="n">
        <v>87.4</v>
      </c>
      <c r="M60" s="3" t="n">
        <v>0</v>
      </c>
      <c r="N60" s="3" t="s">
        <v>19</v>
      </c>
    </row>
    <row r="61" customFormat="false" ht="15" hidden="false" customHeight="true" outlineLevel="0" collapsed="false">
      <c r="A61" s="3" t="s">
        <v>105</v>
      </c>
      <c r="B61" s="3" t="n">
        <v>36</v>
      </c>
      <c r="C61" s="3" t="s">
        <v>21</v>
      </c>
      <c r="D61" s="3" t="s">
        <v>48</v>
      </c>
      <c r="E61" s="3" t="s">
        <v>57</v>
      </c>
      <c r="F61" s="3" t="s">
        <v>28</v>
      </c>
      <c r="G61" s="3" t="n">
        <v>11</v>
      </c>
      <c r="H61" s="3" t="n">
        <v>96594</v>
      </c>
      <c r="I61" s="3" t="n">
        <v>3</v>
      </c>
      <c r="J61" s="3" t="n">
        <v>3</v>
      </c>
      <c r="K61" s="3" t="s">
        <v>29</v>
      </c>
      <c r="L61" s="3" t="n">
        <v>95.9</v>
      </c>
      <c r="M61" s="3" t="n">
        <v>5</v>
      </c>
      <c r="N61" s="3" t="s">
        <v>29</v>
      </c>
    </row>
    <row r="62" customFormat="false" ht="15" hidden="false" customHeight="true" outlineLevel="0" collapsed="false">
      <c r="A62" s="3" t="s">
        <v>106</v>
      </c>
      <c r="B62" s="3" t="n">
        <v>22</v>
      </c>
      <c r="C62" s="3" t="s">
        <v>21</v>
      </c>
      <c r="D62" s="3" t="s">
        <v>22</v>
      </c>
      <c r="E62" s="3" t="s">
        <v>23</v>
      </c>
      <c r="F62" s="3" t="s">
        <v>28</v>
      </c>
      <c r="G62" s="3" t="n">
        <v>0</v>
      </c>
      <c r="H62" s="3" t="n">
        <v>45723</v>
      </c>
      <c r="I62" s="3" t="n">
        <v>4</v>
      </c>
      <c r="J62" s="3" t="n">
        <v>3</v>
      </c>
      <c r="K62" s="3" t="s">
        <v>19</v>
      </c>
      <c r="L62" s="3" t="n">
        <v>87.5</v>
      </c>
      <c r="M62" s="3" t="n">
        <v>0</v>
      </c>
      <c r="N62" s="3" t="s">
        <v>19</v>
      </c>
    </row>
    <row r="63" customFormat="false" ht="15" hidden="false" customHeight="true" outlineLevel="0" collapsed="false">
      <c r="A63" s="3" t="s">
        <v>107</v>
      </c>
      <c r="B63" s="3" t="n">
        <v>31</v>
      </c>
      <c r="C63" s="3" t="s">
        <v>15</v>
      </c>
      <c r="D63" s="3" t="s">
        <v>42</v>
      </c>
      <c r="E63" s="3" t="s">
        <v>74</v>
      </c>
      <c r="F63" s="3" t="s">
        <v>24</v>
      </c>
      <c r="G63" s="3" t="n">
        <v>2</v>
      </c>
      <c r="H63" s="3" t="n">
        <v>62420</v>
      </c>
      <c r="I63" s="3" t="n">
        <v>3</v>
      </c>
      <c r="J63" s="3" t="n">
        <v>3</v>
      </c>
      <c r="K63" s="3" t="s">
        <v>29</v>
      </c>
      <c r="L63" s="3" t="n">
        <v>95.2</v>
      </c>
      <c r="M63" s="3" t="n">
        <v>0</v>
      </c>
      <c r="N63" s="3" t="s">
        <v>19</v>
      </c>
    </row>
    <row r="64" customFormat="false" ht="15" hidden="false" customHeight="true" outlineLevel="0" collapsed="false">
      <c r="A64" s="3" t="s">
        <v>108</v>
      </c>
      <c r="B64" s="3" t="n">
        <v>39</v>
      </c>
      <c r="C64" s="3" t="s">
        <v>21</v>
      </c>
      <c r="D64" s="3" t="s">
        <v>26</v>
      </c>
      <c r="E64" s="3" t="s">
        <v>27</v>
      </c>
      <c r="F64" s="3" t="s">
        <v>28</v>
      </c>
      <c r="G64" s="3" t="n">
        <v>11</v>
      </c>
      <c r="H64" s="3" t="n">
        <v>75315</v>
      </c>
      <c r="I64" s="3" t="n">
        <v>4</v>
      </c>
      <c r="J64" s="3" t="n">
        <v>3</v>
      </c>
      <c r="K64" s="3" t="s">
        <v>19</v>
      </c>
      <c r="L64" s="3" t="n">
        <v>92.1</v>
      </c>
      <c r="M64" s="3" t="n">
        <v>8</v>
      </c>
      <c r="N64" s="3" t="s">
        <v>19</v>
      </c>
    </row>
    <row r="65" customFormat="false" ht="15" hidden="false" customHeight="true" outlineLevel="0" collapsed="false">
      <c r="A65" s="3" t="s">
        <v>109</v>
      </c>
      <c r="B65" s="3" t="n">
        <v>25</v>
      </c>
      <c r="C65" s="3" t="s">
        <v>21</v>
      </c>
      <c r="D65" s="3" t="s">
        <v>42</v>
      </c>
      <c r="E65" s="3" t="s">
        <v>43</v>
      </c>
      <c r="F65" s="3" t="s">
        <v>24</v>
      </c>
      <c r="G65" s="3" t="n">
        <v>3</v>
      </c>
      <c r="H65" s="3" t="n">
        <v>53890</v>
      </c>
      <c r="I65" s="3" t="n">
        <v>3</v>
      </c>
      <c r="J65" s="3" t="n">
        <v>3</v>
      </c>
      <c r="K65" s="3" t="s">
        <v>19</v>
      </c>
      <c r="L65" s="3" t="n">
        <v>92.2</v>
      </c>
      <c r="M65" s="3" t="n">
        <v>1</v>
      </c>
      <c r="N65" s="3" t="s">
        <v>19</v>
      </c>
    </row>
    <row r="66" customFormat="false" ht="15" hidden="false" customHeight="true" outlineLevel="0" collapsed="false">
      <c r="A66" s="3" t="s">
        <v>110</v>
      </c>
      <c r="B66" s="3" t="n">
        <v>25</v>
      </c>
      <c r="C66" s="3" t="s">
        <v>21</v>
      </c>
      <c r="D66" s="3" t="s">
        <v>16</v>
      </c>
      <c r="E66" s="3" t="s">
        <v>17</v>
      </c>
      <c r="F66" s="3" t="s">
        <v>28</v>
      </c>
      <c r="G66" s="3" t="n">
        <v>1</v>
      </c>
      <c r="H66" s="3" t="n">
        <v>55409</v>
      </c>
      <c r="I66" s="3" t="n">
        <v>3</v>
      </c>
      <c r="J66" s="3" t="n">
        <v>4</v>
      </c>
      <c r="K66" s="3" t="s">
        <v>19</v>
      </c>
      <c r="L66" s="3" t="n">
        <v>92.2</v>
      </c>
      <c r="M66" s="3" t="n">
        <v>0</v>
      </c>
      <c r="N66" s="3" t="s">
        <v>19</v>
      </c>
    </row>
    <row r="67" customFormat="false" ht="15" hidden="false" customHeight="true" outlineLevel="0" collapsed="false">
      <c r="A67" s="3" t="s">
        <v>111</v>
      </c>
      <c r="B67" s="3" t="n">
        <v>25</v>
      </c>
      <c r="C67" s="3" t="s">
        <v>15</v>
      </c>
      <c r="D67" s="3" t="s">
        <v>31</v>
      </c>
      <c r="E67" s="3" t="s">
        <v>52</v>
      </c>
      <c r="F67" s="3" t="s">
        <v>28</v>
      </c>
      <c r="G67" s="3" t="n">
        <v>3</v>
      </c>
      <c r="H67" s="3" t="n">
        <v>45723</v>
      </c>
      <c r="I67" s="3" t="n">
        <v>2</v>
      </c>
      <c r="J67" s="3" t="n">
        <v>3</v>
      </c>
      <c r="K67" s="3" t="s">
        <v>29</v>
      </c>
      <c r="L67" s="3" t="n">
        <v>89.1</v>
      </c>
      <c r="M67" s="3" t="n">
        <v>1</v>
      </c>
      <c r="N67" s="3" t="s">
        <v>19</v>
      </c>
    </row>
    <row r="68" customFormat="false" ht="15" hidden="false" customHeight="true" outlineLevel="0" collapsed="false">
      <c r="A68" s="3" t="s">
        <v>112</v>
      </c>
      <c r="B68" s="3" t="n">
        <v>29</v>
      </c>
      <c r="C68" s="3" t="s">
        <v>15</v>
      </c>
      <c r="D68" s="3" t="s">
        <v>48</v>
      </c>
      <c r="E68" s="3" t="s">
        <v>76</v>
      </c>
      <c r="F68" s="3" t="s">
        <v>24</v>
      </c>
      <c r="G68" s="3" t="n">
        <v>2</v>
      </c>
      <c r="H68" s="3" t="n">
        <v>64875</v>
      </c>
      <c r="I68" s="3" t="n">
        <v>4</v>
      </c>
      <c r="J68" s="3" t="n">
        <v>2</v>
      </c>
      <c r="K68" s="3" t="s">
        <v>19</v>
      </c>
      <c r="L68" s="3" t="n">
        <v>82.7</v>
      </c>
      <c r="M68" s="3" t="n">
        <v>0</v>
      </c>
      <c r="N68" s="3" t="s">
        <v>19</v>
      </c>
    </row>
    <row r="69" customFormat="false" ht="15" hidden="false" customHeight="true" outlineLevel="0" collapsed="false">
      <c r="A69" s="3" t="s">
        <v>113</v>
      </c>
      <c r="B69" s="3" t="n">
        <v>34</v>
      </c>
      <c r="C69" s="3" t="s">
        <v>15</v>
      </c>
      <c r="D69" s="3" t="s">
        <v>31</v>
      </c>
      <c r="E69" s="3" t="s">
        <v>32</v>
      </c>
      <c r="F69" s="3" t="s">
        <v>28</v>
      </c>
      <c r="G69" s="3" t="n">
        <v>7</v>
      </c>
      <c r="H69" s="3" t="n">
        <v>49788</v>
      </c>
      <c r="I69" s="3" t="n">
        <v>2</v>
      </c>
      <c r="J69" s="3" t="n">
        <v>2</v>
      </c>
      <c r="K69" s="3" t="s">
        <v>19</v>
      </c>
      <c r="L69" s="3" t="n">
        <v>90.4</v>
      </c>
      <c r="M69" s="3" t="n">
        <v>6</v>
      </c>
      <c r="N69" s="3" t="s">
        <v>29</v>
      </c>
    </row>
    <row r="70" customFormat="false" ht="15" hidden="false" customHeight="true" outlineLevel="0" collapsed="false">
      <c r="A70" s="3" t="s">
        <v>114</v>
      </c>
      <c r="B70" s="3" t="n">
        <v>48</v>
      </c>
      <c r="C70" s="3" t="s">
        <v>15</v>
      </c>
      <c r="D70" s="3" t="s">
        <v>48</v>
      </c>
      <c r="E70" s="3" t="s">
        <v>89</v>
      </c>
      <c r="F70" s="3" t="s">
        <v>54</v>
      </c>
      <c r="G70" s="3" t="n">
        <v>15</v>
      </c>
      <c r="H70" s="3" t="n">
        <v>99461</v>
      </c>
      <c r="I70" s="3" t="n">
        <v>5</v>
      </c>
      <c r="J70" s="3" t="n">
        <v>4</v>
      </c>
      <c r="K70" s="3" t="s">
        <v>19</v>
      </c>
      <c r="L70" s="3" t="n">
        <v>96.8</v>
      </c>
      <c r="M70" s="3" t="n">
        <v>7</v>
      </c>
      <c r="N70" s="3" t="s">
        <v>19</v>
      </c>
    </row>
    <row r="71" customFormat="false" ht="15" hidden="false" customHeight="true" outlineLevel="0" collapsed="false">
      <c r="A71" s="3" t="s">
        <v>115</v>
      </c>
      <c r="B71" s="3" t="n">
        <v>30</v>
      </c>
      <c r="C71" s="3" t="s">
        <v>21</v>
      </c>
      <c r="D71" s="3" t="s">
        <v>48</v>
      </c>
      <c r="E71" s="3" t="s">
        <v>49</v>
      </c>
      <c r="F71" s="3" t="s">
        <v>24</v>
      </c>
      <c r="G71" s="3" t="n">
        <v>8</v>
      </c>
      <c r="H71" s="3" t="n">
        <v>73899</v>
      </c>
      <c r="I71" s="3" t="n">
        <v>1</v>
      </c>
      <c r="J71" s="3" t="n">
        <v>3</v>
      </c>
      <c r="K71" s="3" t="s">
        <v>29</v>
      </c>
      <c r="L71" s="3" t="n">
        <v>84.8</v>
      </c>
      <c r="M71" s="3" t="n">
        <v>4</v>
      </c>
      <c r="N71" s="3" t="s">
        <v>19</v>
      </c>
    </row>
    <row r="72" customFormat="false" ht="15" hidden="false" customHeight="true" outlineLevel="0" collapsed="false">
      <c r="A72" s="3" t="s">
        <v>116</v>
      </c>
      <c r="B72" s="3" t="n">
        <v>34</v>
      </c>
      <c r="C72" s="3" t="s">
        <v>21</v>
      </c>
      <c r="D72" s="3" t="s">
        <v>26</v>
      </c>
      <c r="E72" s="3" t="s">
        <v>62</v>
      </c>
      <c r="F72" s="3" t="s">
        <v>24</v>
      </c>
      <c r="G72" s="3" t="n">
        <v>5</v>
      </c>
      <c r="H72" s="3" t="n">
        <v>64115</v>
      </c>
      <c r="I72" s="3" t="n">
        <v>2</v>
      </c>
      <c r="J72" s="3" t="n">
        <v>3</v>
      </c>
      <c r="K72" s="3" t="s">
        <v>19</v>
      </c>
      <c r="L72" s="3" t="n">
        <v>82.5</v>
      </c>
      <c r="M72" s="3" t="n">
        <v>2</v>
      </c>
      <c r="N72" s="3" t="s">
        <v>19</v>
      </c>
    </row>
    <row r="73" customFormat="false" ht="15" hidden="false" customHeight="true" outlineLevel="0" collapsed="false">
      <c r="A73" s="3" t="s">
        <v>117</v>
      </c>
      <c r="B73" s="3" t="n">
        <v>33</v>
      </c>
      <c r="C73" s="3" t="s">
        <v>15</v>
      </c>
      <c r="D73" s="3" t="s">
        <v>42</v>
      </c>
      <c r="E73" s="3" t="s">
        <v>74</v>
      </c>
      <c r="F73" s="3" t="s">
        <v>18</v>
      </c>
      <c r="G73" s="3" t="n">
        <v>6</v>
      </c>
      <c r="H73" s="3" t="n">
        <v>58155</v>
      </c>
      <c r="I73" s="3" t="n">
        <v>2</v>
      </c>
      <c r="J73" s="3" t="n">
        <v>2</v>
      </c>
      <c r="K73" s="3" t="s">
        <v>29</v>
      </c>
      <c r="L73" s="3" t="n">
        <v>98.2</v>
      </c>
      <c r="M73" s="3" t="n">
        <v>4</v>
      </c>
      <c r="N73" s="3" t="s">
        <v>19</v>
      </c>
    </row>
    <row r="74" customFormat="false" ht="15" hidden="false" customHeight="true" outlineLevel="0" collapsed="false">
      <c r="A74" s="3" t="s">
        <v>118</v>
      </c>
      <c r="B74" s="3" t="n">
        <v>22</v>
      </c>
      <c r="C74" s="3" t="s">
        <v>15</v>
      </c>
      <c r="D74" s="3" t="s">
        <v>22</v>
      </c>
      <c r="E74" s="3" t="s">
        <v>38</v>
      </c>
      <c r="F74" s="3" t="s">
        <v>24</v>
      </c>
      <c r="G74" s="3" t="n">
        <v>0</v>
      </c>
      <c r="H74" s="3" t="n">
        <v>58797</v>
      </c>
      <c r="I74" s="3" t="n">
        <v>2</v>
      </c>
      <c r="J74" s="3" t="n">
        <v>2</v>
      </c>
      <c r="K74" s="3" t="s">
        <v>29</v>
      </c>
      <c r="L74" s="3" t="n">
        <v>84.3</v>
      </c>
      <c r="M74" s="3" t="n">
        <v>0</v>
      </c>
      <c r="N74" s="3" t="s">
        <v>19</v>
      </c>
    </row>
    <row r="75" customFormat="false" ht="15" hidden="false" customHeight="true" outlineLevel="0" collapsed="false">
      <c r="A75" s="3" t="s">
        <v>119</v>
      </c>
      <c r="B75" s="3" t="n">
        <v>34</v>
      </c>
      <c r="C75" s="3" t="s">
        <v>21</v>
      </c>
      <c r="D75" s="3" t="s">
        <v>42</v>
      </c>
      <c r="E75" s="3" t="s">
        <v>43</v>
      </c>
      <c r="F75" s="3" t="s">
        <v>24</v>
      </c>
      <c r="G75" s="3" t="n">
        <v>7</v>
      </c>
      <c r="H75" s="3" t="n">
        <v>45191</v>
      </c>
      <c r="I75" s="3" t="n">
        <v>3</v>
      </c>
      <c r="J75" s="3" t="n">
        <v>2</v>
      </c>
      <c r="K75" s="3" t="s">
        <v>29</v>
      </c>
      <c r="L75" s="3" t="n">
        <v>94</v>
      </c>
      <c r="M75" s="3" t="n">
        <v>3</v>
      </c>
      <c r="N75" s="3" t="s">
        <v>19</v>
      </c>
    </row>
    <row r="76" customFormat="false" ht="15" hidden="false" customHeight="true" outlineLevel="0" collapsed="false">
      <c r="A76" s="3" t="s">
        <v>120</v>
      </c>
      <c r="B76" s="3" t="n">
        <v>29</v>
      </c>
      <c r="C76" s="3" t="s">
        <v>15</v>
      </c>
      <c r="D76" s="3" t="s">
        <v>42</v>
      </c>
      <c r="E76" s="3" t="s">
        <v>121</v>
      </c>
      <c r="F76" s="3" t="s">
        <v>24</v>
      </c>
      <c r="G76" s="3" t="n">
        <v>7</v>
      </c>
      <c r="H76" s="3" t="n">
        <v>42776</v>
      </c>
      <c r="I76" s="3" t="n">
        <v>2</v>
      </c>
      <c r="J76" s="3" t="n">
        <v>2</v>
      </c>
      <c r="K76" s="3" t="s">
        <v>19</v>
      </c>
      <c r="L76" s="3" t="n">
        <v>89.1</v>
      </c>
      <c r="M76" s="3" t="n">
        <v>6</v>
      </c>
      <c r="N76" s="3" t="s">
        <v>19</v>
      </c>
    </row>
    <row r="77" customFormat="false" ht="15" hidden="false" customHeight="true" outlineLevel="0" collapsed="false">
      <c r="A77" s="3" t="s">
        <v>122</v>
      </c>
      <c r="B77" s="3" t="n">
        <v>49</v>
      </c>
      <c r="C77" s="3" t="s">
        <v>21</v>
      </c>
      <c r="D77" s="3" t="s">
        <v>48</v>
      </c>
      <c r="E77" s="3" t="s">
        <v>57</v>
      </c>
      <c r="F77" s="3" t="s">
        <v>24</v>
      </c>
      <c r="G77" s="3" t="n">
        <v>16</v>
      </c>
      <c r="H77" s="3" t="n">
        <v>100693</v>
      </c>
      <c r="I77" s="3" t="n">
        <v>4</v>
      </c>
      <c r="J77" s="3" t="n">
        <v>4</v>
      </c>
      <c r="K77" s="3" t="s">
        <v>29</v>
      </c>
      <c r="L77" s="3" t="n">
        <v>94.9</v>
      </c>
      <c r="M77" s="3" t="n">
        <v>8</v>
      </c>
      <c r="N77" s="3" t="s">
        <v>19</v>
      </c>
    </row>
    <row r="78" customFormat="false" ht="15" hidden="false" customHeight="true" outlineLevel="0" collapsed="false">
      <c r="A78" s="3" t="s">
        <v>123</v>
      </c>
      <c r="B78" s="3" t="n">
        <v>33</v>
      </c>
      <c r="C78" s="3" t="s">
        <v>21</v>
      </c>
      <c r="D78" s="3" t="s">
        <v>42</v>
      </c>
      <c r="E78" s="3" t="s">
        <v>43</v>
      </c>
      <c r="F78" s="3" t="s">
        <v>28</v>
      </c>
      <c r="G78" s="3" t="n">
        <v>10</v>
      </c>
      <c r="H78" s="3" t="n">
        <v>54157</v>
      </c>
      <c r="I78" s="3" t="n">
        <v>2</v>
      </c>
      <c r="J78" s="3" t="n">
        <v>3</v>
      </c>
      <c r="K78" s="3" t="s">
        <v>19</v>
      </c>
      <c r="L78" s="3" t="n">
        <v>93.9</v>
      </c>
      <c r="M78" s="3" t="n">
        <v>7</v>
      </c>
      <c r="N78" s="3" t="s">
        <v>19</v>
      </c>
    </row>
    <row r="79" customFormat="false" ht="15" hidden="false" customHeight="true" outlineLevel="0" collapsed="false">
      <c r="A79" s="3" t="s">
        <v>124</v>
      </c>
      <c r="B79" s="3" t="n">
        <v>22</v>
      </c>
      <c r="C79" s="3" t="s">
        <v>15</v>
      </c>
      <c r="D79" s="3" t="s">
        <v>48</v>
      </c>
      <c r="E79" s="3" t="s">
        <v>57</v>
      </c>
      <c r="F79" s="3" t="s">
        <v>24</v>
      </c>
      <c r="G79" s="3" t="n">
        <v>1</v>
      </c>
      <c r="H79" s="3" t="n">
        <v>83463</v>
      </c>
      <c r="I79" s="3" t="n">
        <v>5</v>
      </c>
      <c r="J79" s="3" t="n">
        <v>3</v>
      </c>
      <c r="K79" s="3" t="s">
        <v>19</v>
      </c>
      <c r="L79" s="3" t="n">
        <v>100</v>
      </c>
      <c r="M79" s="3" t="n">
        <v>1</v>
      </c>
      <c r="N79" s="3" t="s">
        <v>19</v>
      </c>
    </row>
    <row r="80" customFormat="false" ht="15" hidden="false" customHeight="true" outlineLevel="0" collapsed="false">
      <c r="A80" s="3" t="s">
        <v>125</v>
      </c>
      <c r="B80" s="3" t="n">
        <v>25</v>
      </c>
      <c r="C80" s="3" t="s">
        <v>21</v>
      </c>
      <c r="D80" s="3" t="s">
        <v>42</v>
      </c>
      <c r="E80" s="3" t="s">
        <v>43</v>
      </c>
      <c r="F80" s="3" t="s">
        <v>24</v>
      </c>
      <c r="G80" s="3" t="n">
        <v>2</v>
      </c>
      <c r="H80" s="3" t="n">
        <v>45938</v>
      </c>
      <c r="I80" s="3" t="n">
        <v>2</v>
      </c>
      <c r="J80" s="3" t="n">
        <v>3</v>
      </c>
      <c r="K80" s="3" t="s">
        <v>19</v>
      </c>
      <c r="L80" s="3" t="n">
        <v>95.1</v>
      </c>
      <c r="M80" s="3" t="n">
        <v>2</v>
      </c>
      <c r="N80" s="3" t="s">
        <v>19</v>
      </c>
    </row>
    <row r="81" customFormat="false" ht="15" hidden="false" customHeight="true" outlineLevel="0" collapsed="false">
      <c r="A81" s="3" t="s">
        <v>126</v>
      </c>
      <c r="B81" s="3" t="n">
        <v>25</v>
      </c>
      <c r="C81" s="3" t="s">
        <v>15</v>
      </c>
      <c r="D81" s="3" t="s">
        <v>16</v>
      </c>
      <c r="E81" s="3" t="s">
        <v>17</v>
      </c>
      <c r="F81" s="3" t="s">
        <v>24</v>
      </c>
      <c r="G81" s="3" t="n">
        <v>4</v>
      </c>
      <c r="H81" s="3" t="n">
        <v>52477</v>
      </c>
      <c r="I81" s="3" t="n">
        <v>3</v>
      </c>
      <c r="J81" s="3" t="n">
        <v>3</v>
      </c>
      <c r="K81" s="3" t="s">
        <v>19</v>
      </c>
      <c r="L81" s="3" t="n">
        <v>95.2</v>
      </c>
      <c r="M81" s="3" t="n">
        <v>2</v>
      </c>
      <c r="N81" s="3" t="s">
        <v>19</v>
      </c>
    </row>
    <row r="82" customFormat="false" ht="15" hidden="false" customHeight="true" outlineLevel="0" collapsed="false">
      <c r="A82" s="3" t="s">
        <v>127</v>
      </c>
      <c r="B82" s="3" t="n">
        <v>36</v>
      </c>
      <c r="C82" s="3" t="s">
        <v>15</v>
      </c>
      <c r="D82" s="3" t="s">
        <v>48</v>
      </c>
      <c r="E82" s="3" t="s">
        <v>57</v>
      </c>
      <c r="F82" s="3" t="s">
        <v>24</v>
      </c>
      <c r="G82" s="3" t="n">
        <v>8</v>
      </c>
      <c r="H82" s="3" t="n">
        <v>91261</v>
      </c>
      <c r="I82" s="3" t="n">
        <v>3</v>
      </c>
      <c r="J82" s="3" t="n">
        <v>3</v>
      </c>
      <c r="K82" s="3" t="s">
        <v>19</v>
      </c>
      <c r="L82" s="3" t="n">
        <v>92.7</v>
      </c>
      <c r="M82" s="3" t="n">
        <v>6</v>
      </c>
      <c r="N82" s="3" t="s">
        <v>19</v>
      </c>
    </row>
    <row r="83" customFormat="false" ht="15" hidden="false" customHeight="true" outlineLevel="0" collapsed="false">
      <c r="A83" s="3" t="s">
        <v>128</v>
      </c>
      <c r="B83" s="3" t="n">
        <v>33</v>
      </c>
      <c r="C83" s="3" t="s">
        <v>21</v>
      </c>
      <c r="D83" s="3" t="s">
        <v>48</v>
      </c>
      <c r="E83" s="3" t="s">
        <v>89</v>
      </c>
      <c r="F83" s="3" t="s">
        <v>24</v>
      </c>
      <c r="G83" s="3" t="n">
        <v>5</v>
      </c>
      <c r="H83" s="3" t="n">
        <v>91680</v>
      </c>
      <c r="I83" s="3" t="n">
        <v>2</v>
      </c>
      <c r="J83" s="3" t="n">
        <v>3</v>
      </c>
      <c r="K83" s="3" t="s">
        <v>29</v>
      </c>
      <c r="L83" s="3" t="n">
        <v>85.8</v>
      </c>
      <c r="M83" s="3" t="n">
        <v>3</v>
      </c>
      <c r="N83" s="3" t="s">
        <v>29</v>
      </c>
    </row>
    <row r="84" customFormat="false" ht="15" hidden="false" customHeight="true" outlineLevel="0" collapsed="false">
      <c r="A84" s="3" t="s">
        <v>129</v>
      </c>
      <c r="B84" s="3" t="n">
        <v>29</v>
      </c>
      <c r="C84" s="3" t="s">
        <v>21</v>
      </c>
      <c r="D84" s="3" t="s">
        <v>16</v>
      </c>
      <c r="E84" s="3" t="s">
        <v>17</v>
      </c>
      <c r="F84" s="3" t="s">
        <v>24</v>
      </c>
      <c r="G84" s="3" t="n">
        <v>0</v>
      </c>
      <c r="H84" s="3" t="n">
        <v>57478</v>
      </c>
      <c r="I84" s="3" t="n">
        <v>3</v>
      </c>
      <c r="J84" s="3" t="n">
        <v>3</v>
      </c>
      <c r="K84" s="3" t="s">
        <v>29</v>
      </c>
      <c r="L84" s="3" t="n">
        <v>95.1</v>
      </c>
      <c r="M84" s="3" t="n">
        <v>0</v>
      </c>
      <c r="N84" s="3" t="s">
        <v>19</v>
      </c>
    </row>
    <row r="85" customFormat="false" ht="15" hidden="false" customHeight="true" outlineLevel="0" collapsed="false">
      <c r="A85" s="3" t="s">
        <v>130</v>
      </c>
      <c r="B85" s="3" t="n">
        <v>31</v>
      </c>
      <c r="C85" s="3" t="s">
        <v>21</v>
      </c>
      <c r="D85" s="3" t="s">
        <v>16</v>
      </c>
      <c r="E85" s="3" t="s">
        <v>17</v>
      </c>
      <c r="F85" s="3" t="s">
        <v>24</v>
      </c>
      <c r="G85" s="3" t="n">
        <v>0</v>
      </c>
      <c r="H85" s="3" t="n">
        <v>55811</v>
      </c>
      <c r="I85" s="3" t="n">
        <v>2</v>
      </c>
      <c r="J85" s="3" t="n">
        <v>3</v>
      </c>
      <c r="K85" s="3" t="s">
        <v>19</v>
      </c>
      <c r="L85" s="3" t="n">
        <v>92</v>
      </c>
      <c r="M85" s="3" t="n">
        <v>0</v>
      </c>
      <c r="N85" s="3" t="s">
        <v>19</v>
      </c>
    </row>
    <row r="86" customFormat="false" ht="15" hidden="false" customHeight="true" outlineLevel="0" collapsed="false">
      <c r="A86" s="3" t="s">
        <v>131</v>
      </c>
      <c r="B86" s="3" t="n">
        <v>29</v>
      </c>
      <c r="C86" s="3" t="s">
        <v>15</v>
      </c>
      <c r="D86" s="3" t="s">
        <v>48</v>
      </c>
      <c r="E86" s="3" t="s">
        <v>89</v>
      </c>
      <c r="F86" s="3" t="s">
        <v>24</v>
      </c>
      <c r="G86" s="3" t="n">
        <v>7</v>
      </c>
      <c r="H86" s="3" t="n">
        <v>87750</v>
      </c>
      <c r="I86" s="3" t="n">
        <v>2</v>
      </c>
      <c r="J86" s="3" t="n">
        <v>2</v>
      </c>
      <c r="K86" s="3" t="s">
        <v>19</v>
      </c>
      <c r="L86" s="3" t="n">
        <v>87.2</v>
      </c>
      <c r="M86" s="3" t="n">
        <v>3</v>
      </c>
      <c r="N86" s="3" t="s">
        <v>19</v>
      </c>
    </row>
    <row r="87" customFormat="false" ht="15" hidden="false" customHeight="true" outlineLevel="0" collapsed="false">
      <c r="A87" s="3" t="s">
        <v>132</v>
      </c>
      <c r="B87" s="3" t="n">
        <v>24</v>
      </c>
      <c r="C87" s="3" t="s">
        <v>15</v>
      </c>
      <c r="D87" s="3" t="s">
        <v>48</v>
      </c>
      <c r="E87" s="3" t="s">
        <v>49</v>
      </c>
      <c r="F87" s="3" t="s">
        <v>24</v>
      </c>
      <c r="G87" s="3" t="n">
        <v>1</v>
      </c>
      <c r="H87" s="3" t="n">
        <v>66499</v>
      </c>
      <c r="I87" s="3" t="n">
        <v>3</v>
      </c>
      <c r="J87" s="3" t="n">
        <v>3</v>
      </c>
      <c r="K87" s="3" t="s">
        <v>19</v>
      </c>
      <c r="L87" s="3" t="n">
        <v>91.2</v>
      </c>
      <c r="M87" s="3" t="n">
        <v>1</v>
      </c>
      <c r="N87" s="3" t="s">
        <v>19</v>
      </c>
    </row>
    <row r="88" customFormat="false" ht="15" hidden="false" customHeight="true" outlineLevel="0" collapsed="false">
      <c r="A88" s="3" t="s">
        <v>133</v>
      </c>
      <c r="B88" s="3" t="n">
        <v>30</v>
      </c>
      <c r="C88" s="3" t="s">
        <v>21</v>
      </c>
      <c r="D88" s="3" t="s">
        <v>26</v>
      </c>
      <c r="E88" s="3" t="s">
        <v>46</v>
      </c>
      <c r="F88" s="3" t="s">
        <v>28</v>
      </c>
      <c r="G88" s="3" t="n">
        <v>8</v>
      </c>
      <c r="H88" s="3" t="n">
        <v>51890</v>
      </c>
      <c r="I88" s="3" t="n">
        <v>3</v>
      </c>
      <c r="J88" s="3" t="n">
        <v>2</v>
      </c>
      <c r="K88" s="3" t="s">
        <v>19</v>
      </c>
      <c r="L88" s="3" t="n">
        <v>84</v>
      </c>
      <c r="M88" s="3" t="n">
        <v>6</v>
      </c>
      <c r="N88" s="3" t="s">
        <v>19</v>
      </c>
    </row>
    <row r="89" customFormat="false" ht="15" hidden="false" customHeight="true" outlineLevel="0" collapsed="false">
      <c r="A89" s="3" t="s">
        <v>134</v>
      </c>
      <c r="B89" s="3" t="n">
        <v>35</v>
      </c>
      <c r="C89" s="3" t="s">
        <v>15</v>
      </c>
      <c r="D89" s="3" t="s">
        <v>42</v>
      </c>
      <c r="E89" s="3" t="s">
        <v>74</v>
      </c>
      <c r="F89" s="3" t="s">
        <v>18</v>
      </c>
      <c r="G89" s="3" t="n">
        <v>12</v>
      </c>
      <c r="H89" s="3" t="n">
        <v>67395</v>
      </c>
      <c r="I89" s="3" t="n">
        <v>3</v>
      </c>
      <c r="J89" s="3" t="n">
        <v>3</v>
      </c>
      <c r="K89" s="3" t="s">
        <v>19</v>
      </c>
      <c r="L89" s="3" t="n">
        <v>90</v>
      </c>
      <c r="M89" s="3" t="n">
        <v>6</v>
      </c>
      <c r="N89" s="3" t="s">
        <v>19</v>
      </c>
    </row>
    <row r="90" customFormat="false" ht="15" hidden="false" customHeight="true" outlineLevel="0" collapsed="false">
      <c r="A90" s="3" t="s">
        <v>135</v>
      </c>
      <c r="B90" s="3" t="n">
        <v>22</v>
      </c>
      <c r="C90" s="3" t="s">
        <v>21</v>
      </c>
      <c r="D90" s="3" t="s">
        <v>22</v>
      </c>
      <c r="E90" s="3" t="s">
        <v>23</v>
      </c>
      <c r="F90" s="3" t="s">
        <v>28</v>
      </c>
      <c r="G90" s="3" t="n">
        <v>1</v>
      </c>
      <c r="H90" s="3" t="n">
        <v>40275</v>
      </c>
      <c r="I90" s="3" t="n">
        <v>4</v>
      </c>
      <c r="J90" s="3" t="n">
        <v>4</v>
      </c>
      <c r="K90" s="3" t="s">
        <v>19</v>
      </c>
      <c r="L90" s="3" t="n">
        <v>96.9</v>
      </c>
      <c r="M90" s="3" t="n">
        <v>0</v>
      </c>
      <c r="N90" s="3" t="s">
        <v>19</v>
      </c>
    </row>
    <row r="91" customFormat="false" ht="15" hidden="false" customHeight="true" outlineLevel="0" collapsed="false">
      <c r="A91" s="3" t="s">
        <v>136</v>
      </c>
      <c r="B91" s="3" t="n">
        <v>43</v>
      </c>
      <c r="C91" s="3" t="s">
        <v>21</v>
      </c>
      <c r="D91" s="3" t="s">
        <v>16</v>
      </c>
      <c r="E91" s="3" t="s">
        <v>34</v>
      </c>
      <c r="F91" s="3" t="s">
        <v>24</v>
      </c>
      <c r="G91" s="3" t="n">
        <v>15</v>
      </c>
      <c r="H91" s="3" t="n">
        <v>63076</v>
      </c>
      <c r="I91" s="3" t="n">
        <v>2</v>
      </c>
      <c r="J91" s="3" t="n">
        <v>4</v>
      </c>
      <c r="K91" s="3" t="s">
        <v>19</v>
      </c>
      <c r="L91" s="3" t="n">
        <v>99.4</v>
      </c>
      <c r="M91" s="3" t="n">
        <v>8</v>
      </c>
      <c r="N91" s="3" t="s">
        <v>19</v>
      </c>
    </row>
    <row r="92" customFormat="false" ht="15" hidden="false" customHeight="true" outlineLevel="0" collapsed="false">
      <c r="A92" s="3" t="s">
        <v>137</v>
      </c>
      <c r="B92" s="3" t="n">
        <v>24</v>
      </c>
      <c r="C92" s="3" t="s">
        <v>21</v>
      </c>
      <c r="D92" s="3" t="s">
        <v>42</v>
      </c>
      <c r="E92" s="3" t="s">
        <v>121</v>
      </c>
      <c r="F92" s="3" t="s">
        <v>24</v>
      </c>
      <c r="G92" s="3" t="n">
        <v>1</v>
      </c>
      <c r="H92" s="3" t="n">
        <v>40945</v>
      </c>
      <c r="I92" s="3" t="n">
        <v>3</v>
      </c>
      <c r="J92" s="3" t="n">
        <v>3</v>
      </c>
      <c r="K92" s="3" t="s">
        <v>19</v>
      </c>
      <c r="L92" s="3" t="n">
        <v>90.8</v>
      </c>
      <c r="M92" s="3" t="n">
        <v>1</v>
      </c>
      <c r="N92" s="3" t="s">
        <v>29</v>
      </c>
    </row>
    <row r="93" customFormat="false" ht="15" hidden="false" customHeight="true" outlineLevel="0" collapsed="false">
      <c r="A93" s="3" t="s">
        <v>138</v>
      </c>
      <c r="B93" s="3" t="n">
        <v>31</v>
      </c>
      <c r="C93" s="3" t="s">
        <v>21</v>
      </c>
      <c r="D93" s="3" t="s">
        <v>26</v>
      </c>
      <c r="E93" s="3" t="s">
        <v>46</v>
      </c>
      <c r="F93" s="3" t="s">
        <v>54</v>
      </c>
      <c r="G93" s="3" t="n">
        <v>10</v>
      </c>
      <c r="H93" s="3" t="n">
        <v>52947</v>
      </c>
      <c r="I93" s="3" t="n">
        <v>2</v>
      </c>
      <c r="J93" s="3" t="n">
        <v>4</v>
      </c>
      <c r="K93" s="3" t="s">
        <v>19</v>
      </c>
      <c r="L93" s="3" t="n">
        <v>98.4</v>
      </c>
      <c r="M93" s="3" t="n">
        <v>3</v>
      </c>
      <c r="N93" s="3" t="s">
        <v>19</v>
      </c>
    </row>
    <row r="94" customFormat="false" ht="15" hidden="false" customHeight="true" outlineLevel="0" collapsed="false">
      <c r="A94" s="3" t="s">
        <v>139</v>
      </c>
      <c r="B94" s="3" t="n">
        <v>34</v>
      </c>
      <c r="C94" s="3" t="s">
        <v>15</v>
      </c>
      <c r="D94" s="3" t="s">
        <v>48</v>
      </c>
      <c r="E94" s="3" t="s">
        <v>57</v>
      </c>
      <c r="F94" s="3" t="s">
        <v>24</v>
      </c>
      <c r="G94" s="3" t="n">
        <v>7</v>
      </c>
      <c r="H94" s="3" t="n">
        <v>90858</v>
      </c>
      <c r="I94" s="3" t="n">
        <v>3</v>
      </c>
      <c r="J94" s="3" t="n">
        <v>3</v>
      </c>
      <c r="K94" s="3" t="s">
        <v>29</v>
      </c>
      <c r="L94" s="3" t="n">
        <v>97.1</v>
      </c>
      <c r="M94" s="3" t="n">
        <v>2</v>
      </c>
      <c r="N94" s="3" t="s">
        <v>19</v>
      </c>
    </row>
    <row r="95" customFormat="false" ht="15" hidden="false" customHeight="true" outlineLevel="0" collapsed="false">
      <c r="A95" s="3" t="s">
        <v>140</v>
      </c>
      <c r="B95" s="3" t="n">
        <v>35</v>
      </c>
      <c r="C95" s="3" t="s">
        <v>21</v>
      </c>
      <c r="D95" s="3" t="s">
        <v>16</v>
      </c>
      <c r="E95" s="3" t="s">
        <v>34</v>
      </c>
      <c r="F95" s="3" t="s">
        <v>24</v>
      </c>
      <c r="G95" s="3" t="n">
        <v>11</v>
      </c>
      <c r="H95" s="3" t="n">
        <v>64905</v>
      </c>
      <c r="I95" s="3" t="n">
        <v>4</v>
      </c>
      <c r="J95" s="3" t="n">
        <v>1</v>
      </c>
      <c r="K95" s="3" t="s">
        <v>29</v>
      </c>
      <c r="L95" s="3" t="n">
        <v>86.1</v>
      </c>
      <c r="M95" s="3" t="n">
        <v>5</v>
      </c>
      <c r="N95" s="3" t="s">
        <v>19</v>
      </c>
    </row>
    <row r="96" customFormat="false" ht="15" hidden="false" customHeight="true" outlineLevel="0" collapsed="false">
      <c r="A96" s="3" t="s">
        <v>141</v>
      </c>
      <c r="B96" s="3" t="n">
        <v>31</v>
      </c>
      <c r="C96" s="3" t="s">
        <v>21</v>
      </c>
      <c r="D96" s="3" t="s">
        <v>22</v>
      </c>
      <c r="E96" s="3" t="s">
        <v>38</v>
      </c>
      <c r="F96" s="3" t="s">
        <v>28</v>
      </c>
      <c r="G96" s="3" t="n">
        <v>1</v>
      </c>
      <c r="H96" s="3" t="n">
        <v>54045</v>
      </c>
      <c r="I96" s="3" t="n">
        <v>1</v>
      </c>
      <c r="J96" s="3" t="n">
        <v>1</v>
      </c>
      <c r="K96" s="3" t="s">
        <v>29</v>
      </c>
      <c r="L96" s="3" t="n">
        <v>87</v>
      </c>
      <c r="M96" s="3" t="n">
        <v>0</v>
      </c>
      <c r="N96" s="3" t="s">
        <v>19</v>
      </c>
    </row>
    <row r="97" customFormat="false" ht="15" hidden="false" customHeight="true" outlineLevel="0" collapsed="false">
      <c r="A97" s="3" t="s">
        <v>142</v>
      </c>
      <c r="B97" s="3" t="n">
        <v>22</v>
      </c>
      <c r="C97" s="3" t="s">
        <v>21</v>
      </c>
      <c r="D97" s="3" t="s">
        <v>48</v>
      </c>
      <c r="E97" s="3" t="s">
        <v>89</v>
      </c>
      <c r="F97" s="3" t="s">
        <v>24</v>
      </c>
      <c r="G97" s="3" t="n">
        <v>0</v>
      </c>
      <c r="H97" s="3" t="n">
        <v>87918</v>
      </c>
      <c r="I97" s="3" t="n">
        <v>2</v>
      </c>
      <c r="J97" s="3" t="n">
        <v>3</v>
      </c>
      <c r="K97" s="3" t="s">
        <v>29</v>
      </c>
      <c r="L97" s="3" t="n">
        <v>85.1</v>
      </c>
      <c r="M97" s="3" t="n">
        <v>0</v>
      </c>
      <c r="N97" s="3" t="s">
        <v>19</v>
      </c>
    </row>
    <row r="98" customFormat="false" ht="15" hidden="false" customHeight="true" outlineLevel="0" collapsed="false">
      <c r="A98" s="3" t="s">
        <v>143</v>
      </c>
      <c r="B98" s="3" t="n">
        <v>36</v>
      </c>
      <c r="C98" s="3" t="s">
        <v>15</v>
      </c>
      <c r="D98" s="3" t="s">
        <v>48</v>
      </c>
      <c r="E98" s="3" t="s">
        <v>89</v>
      </c>
      <c r="F98" s="3" t="s">
        <v>18</v>
      </c>
      <c r="G98" s="3" t="n">
        <v>10</v>
      </c>
      <c r="H98" s="3" t="n">
        <v>101235</v>
      </c>
      <c r="I98" s="3" t="n">
        <v>5</v>
      </c>
      <c r="J98" s="3" t="n">
        <v>1</v>
      </c>
      <c r="K98" s="3" t="s">
        <v>19</v>
      </c>
      <c r="L98" s="3" t="n">
        <v>99.4</v>
      </c>
      <c r="M98" s="3" t="n">
        <v>6</v>
      </c>
      <c r="N98" s="3" t="s">
        <v>29</v>
      </c>
    </row>
    <row r="99" customFormat="false" ht="15" hidden="false" customHeight="true" outlineLevel="0" collapsed="false">
      <c r="A99" s="3" t="s">
        <v>144</v>
      </c>
      <c r="B99" s="3" t="n">
        <v>23</v>
      </c>
      <c r="C99" s="3" t="s">
        <v>21</v>
      </c>
      <c r="D99" s="3" t="s">
        <v>26</v>
      </c>
      <c r="E99" s="3" t="s">
        <v>62</v>
      </c>
      <c r="F99" s="3" t="s">
        <v>54</v>
      </c>
      <c r="G99" s="3" t="n">
        <v>0</v>
      </c>
      <c r="H99" s="3" t="n">
        <v>55650</v>
      </c>
      <c r="I99" s="3" t="n">
        <v>2</v>
      </c>
      <c r="J99" s="3" t="n">
        <v>5</v>
      </c>
      <c r="K99" s="3" t="s">
        <v>29</v>
      </c>
      <c r="L99" s="3" t="n">
        <v>96.4</v>
      </c>
      <c r="M99" s="3" t="n">
        <v>0</v>
      </c>
      <c r="N99" s="3" t="s">
        <v>19</v>
      </c>
    </row>
    <row r="100" customFormat="false" ht="15" hidden="false" customHeight="true" outlineLevel="0" collapsed="false">
      <c r="A100" s="3" t="s">
        <v>145</v>
      </c>
      <c r="B100" s="3" t="n">
        <v>32</v>
      </c>
      <c r="C100" s="3" t="s">
        <v>21</v>
      </c>
      <c r="D100" s="3" t="s">
        <v>26</v>
      </c>
      <c r="E100" s="3" t="s">
        <v>46</v>
      </c>
      <c r="F100" s="3" t="s">
        <v>28</v>
      </c>
      <c r="G100" s="3" t="n">
        <v>4</v>
      </c>
      <c r="H100" s="3" t="n">
        <v>53899</v>
      </c>
      <c r="I100" s="3" t="n">
        <v>3</v>
      </c>
      <c r="J100" s="3" t="n">
        <v>4</v>
      </c>
      <c r="K100" s="3" t="s">
        <v>19</v>
      </c>
      <c r="L100" s="3" t="n">
        <v>95.9</v>
      </c>
      <c r="M100" s="3" t="n">
        <v>0</v>
      </c>
      <c r="N100" s="3" t="s">
        <v>29</v>
      </c>
    </row>
    <row r="101" customFormat="false" ht="15" hidden="false" customHeight="true" outlineLevel="0" collapsed="false">
      <c r="A101" s="3" t="s">
        <v>146</v>
      </c>
      <c r="B101" s="3" t="n">
        <v>38</v>
      </c>
      <c r="C101" s="3" t="s">
        <v>15</v>
      </c>
      <c r="D101" s="3" t="s">
        <v>22</v>
      </c>
      <c r="E101" s="3" t="s">
        <v>23</v>
      </c>
      <c r="F101" s="3" t="s">
        <v>28</v>
      </c>
      <c r="G101" s="3" t="n">
        <v>12</v>
      </c>
      <c r="H101" s="3" t="n">
        <v>48308</v>
      </c>
      <c r="I101" s="3" t="n">
        <v>2</v>
      </c>
      <c r="J101" s="3" t="n">
        <v>3</v>
      </c>
      <c r="K101" s="3" t="s">
        <v>19</v>
      </c>
      <c r="L101" s="3" t="n">
        <v>88</v>
      </c>
      <c r="M101" s="3" t="n">
        <v>4</v>
      </c>
      <c r="N10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7" t="s">
        <v>153</v>
      </c>
    </row>
    <row r="3" customFormat="false" ht="15" hidden="false" customHeight="true" outlineLevel="0" collapsed="false">
      <c r="B3" s="6" t="s">
        <v>154</v>
      </c>
    </row>
    <row r="5" customFormat="false" ht="15" hidden="false" customHeight="true" outlineLevel="0" collapsed="false">
      <c r="B5" s="5" t="s">
        <v>155</v>
      </c>
      <c r="C5" s="5" t="s">
        <v>156</v>
      </c>
    </row>
    <row r="6" customFormat="false" ht="15" hidden="false" customHeight="true" outlineLevel="0" collapsed="false">
      <c r="B6" s="3" t="s">
        <v>157</v>
      </c>
      <c r="C6" s="3" t="n">
        <f aca="false">COUNTA(tblHRDataClean[Employee_ID])</f>
        <v>100</v>
      </c>
    </row>
    <row r="7" customFormat="false" ht="15" hidden="false" customHeight="true" outlineLevel="0" collapsed="false">
      <c r="B7" s="3" t="s">
        <v>158</v>
      </c>
      <c r="C7" s="3" t="n">
        <f aca="false">ROUND(AVERAGE(tblHRDataClean[Monthly_Salary]),0)</f>
        <v>62972</v>
      </c>
    </row>
    <row r="8" customFormat="false" ht="15" hidden="false" customHeight="true" outlineLevel="0" collapsed="false">
      <c r="B8" s="3" t="s">
        <v>159</v>
      </c>
      <c r="C8" s="3" t="str">
        <f aca="false">INDEX(B20:B25,MATCH(MAX(C20:C25),C20:C25,0))&amp;" ("&amp;MAX(C20:C25)&amp;" employees)"</f>
        <v>Engineering (24 employees)</v>
      </c>
    </row>
    <row r="9" customFormat="false" ht="15" hidden="false" customHeight="true" outlineLevel="0" collapsed="false">
      <c r="B9" s="3" t="s">
        <v>160</v>
      </c>
      <c r="C9" s="1" t="str">
        <f aca="false">INDEX(B20:B25,MATCH(MAX(D20:D25),D20:D25,0))&amp;" (avg "&amp;TEXT(MAX(D20:D25),"#,##0")&amp;")"</f>
        <v>Engineering (avg 81,527)</v>
      </c>
    </row>
    <row r="10" customFormat="false" ht="15" hidden="false" customHeight="true" outlineLevel="0" collapsed="false">
      <c r="B10" s="3" t="s">
        <v>161</v>
      </c>
      <c r="C10" s="8" t="n">
        <f aca="false">ROUND(COUNTIF(tblHRDataClean[Overtime],"Yes")/COUNTA(tblHRDataClean[Overtime]),4)</f>
        <v>0.37</v>
      </c>
    </row>
    <row r="11" customFormat="false" ht="15" hidden="false" customHeight="true" outlineLevel="0" collapsed="false">
      <c r="B11" s="3" t="s">
        <v>162</v>
      </c>
      <c r="C11" s="9" t="str">
        <f aca="false">INDEX(B20:B25,MATCH(MAX(E20:E25),E20:E25,0))&amp;" ("&amp;TEXT(MAX(E20:E25),"0.0%")&amp;")"</f>
        <v>Marketing (35.7%)</v>
      </c>
    </row>
    <row r="12" customFormat="false" ht="15" hidden="false" customHeight="true" outlineLevel="0" collapsed="false">
      <c r="B12" s="3" t="s">
        <v>163</v>
      </c>
      <c r="C12" s="3" t="n">
        <f aca="false">ROUND(AVERAGE(tblHRDataClean[Job_Satisfaction]),2)</f>
        <v>2.67</v>
      </c>
    </row>
    <row r="13" customFormat="false" ht="15" hidden="false" customHeight="true" outlineLevel="0" collapsed="false">
      <c r="B13" s="3" t="s">
        <v>164</v>
      </c>
      <c r="C13" s="3" t="n">
        <f aca="false">ROUND(AVERAGE(tblHRDataClean[Performance_Rating]),2)</f>
        <v>2.73</v>
      </c>
    </row>
    <row r="14" customFormat="false" ht="15" hidden="false" customHeight="true" outlineLevel="0" collapsed="false">
      <c r="B14" s="3" t="s">
        <v>165</v>
      </c>
      <c r="C14" s="8" t="n">
        <f aca="false">ROUND(COUNTIF(tblHRDataClean[Performance_Rating],"&gt;=4")/COUNTA(tblHRDataClean[Performance_Rating]),4)</f>
        <v>0.19</v>
      </c>
    </row>
    <row r="15" customFormat="false" ht="15" hidden="false" customHeight="true" outlineLevel="0" collapsed="false">
      <c r="B15" s="3" t="s">
        <v>166</v>
      </c>
      <c r="C15" s="8" t="n">
        <f aca="false">ROUND(COUNTIF(tblHRDataClean[Attrition],"Yes")/COUNTA(tblHRDataClean[Attrition]),4)</f>
        <v>0.19</v>
      </c>
    </row>
    <row r="18" customFormat="false" ht="15" hidden="false" customHeight="true" outlineLevel="0" collapsed="false">
      <c r="B18" s="4" t="s">
        <v>167</v>
      </c>
    </row>
    <row r="19" customFormat="false" ht="15" hidden="false" customHeight="true" outlineLevel="0" collapsed="false">
      <c r="B19" s="10" t="s">
        <v>3</v>
      </c>
      <c r="C19" s="10" t="s">
        <v>168</v>
      </c>
      <c r="D19" s="10" t="s">
        <v>169</v>
      </c>
      <c r="E19" s="10" t="s">
        <v>170</v>
      </c>
    </row>
    <row r="20" customFormat="false" ht="15" hidden="false" customHeight="true" outlineLevel="0" collapsed="false">
      <c r="B20" s="11" t="s">
        <v>48</v>
      </c>
      <c r="C20" s="11" t="n">
        <f aca="false">COUNTIF(tblHRDataClean[Department],B20)</f>
        <v>24</v>
      </c>
      <c r="D20" s="11" t="n">
        <f aca="false">ROUND(AVERAGEIF(tblHRDataClean[Department],B20,tblHRDataClean[Monthly_Salary]),0)</f>
        <v>81527</v>
      </c>
      <c r="E20" s="12" t="n">
        <f aca="false">ROUND(COUNTIFS(tblHRDataClean[Department],B20,tblHRDataClean[Attrition],"Yes")/COUNTIF(tblHRDataClean[Department],B20),4)</f>
        <v>0.25</v>
      </c>
    </row>
    <row r="21" customFormat="false" ht="15" hidden="false" customHeight="true" outlineLevel="0" collapsed="false">
      <c r="B21" s="11" t="s">
        <v>16</v>
      </c>
      <c r="C21" s="11" t="n">
        <f aca="false">COUNTIF(tblHRDataClean[Department],B21)</f>
        <v>14</v>
      </c>
      <c r="D21" s="11" t="n">
        <f aca="false">ROUND(AVERAGEIF(tblHRDataClean[Department],B21,tblHRDataClean[Monthly_Salary]),0)</f>
        <v>61099</v>
      </c>
      <c r="E21" s="12" t="n">
        <f aca="false">ROUND(COUNTIFS(tblHRDataClean[Department],B21,tblHRDataClean[Attrition],"Yes")/COUNTIF(tblHRDataClean[Department],B21),4)</f>
        <v>0</v>
      </c>
    </row>
    <row r="22" customFormat="false" ht="15" hidden="false" customHeight="true" outlineLevel="0" collapsed="false">
      <c r="B22" s="11" t="s">
        <v>22</v>
      </c>
      <c r="C22" s="11" t="n">
        <f aca="false">COUNTIF(tblHRDataClean[Department],B22)</f>
        <v>12</v>
      </c>
      <c r="D22" s="11" t="n">
        <f aca="false">ROUND(AVERAGEIF(tblHRDataClean[Department],B22,tblHRDataClean[Monthly_Salary]),0)</f>
        <v>54089</v>
      </c>
      <c r="E22" s="12" t="n">
        <f aca="false">ROUND(COUNTIFS(tblHRDataClean[Department],B22,tblHRDataClean[Attrition],"Yes")/COUNTIF(tblHRDataClean[Department],B22),4)</f>
        <v>0.1667</v>
      </c>
    </row>
    <row r="23" customFormat="false" ht="15" hidden="false" customHeight="true" outlineLevel="0" collapsed="false">
      <c r="B23" s="11" t="s">
        <v>31</v>
      </c>
      <c r="C23" s="11" t="n">
        <f aca="false">COUNTIF(tblHRDataClean[Department],B23)</f>
        <v>14</v>
      </c>
      <c r="D23" s="11" t="n">
        <f aca="false">ROUND(AVERAGEIF(tblHRDataClean[Department],B23,tblHRDataClean[Monthly_Salary]),0)</f>
        <v>58822</v>
      </c>
      <c r="E23" s="12" t="n">
        <f aca="false">ROUND(COUNTIFS(tblHRDataClean[Department],B23,tblHRDataClean[Attrition],"Yes")/COUNTIF(tblHRDataClean[Department],B23),4)</f>
        <v>0.3571</v>
      </c>
    </row>
    <row r="24" customFormat="false" ht="15" hidden="false" customHeight="true" outlineLevel="0" collapsed="false">
      <c r="B24" s="11" t="s">
        <v>42</v>
      </c>
      <c r="C24" s="11" t="n">
        <f aca="false">COUNTIF(tblHRDataClean[Department],B24)</f>
        <v>16</v>
      </c>
      <c r="D24" s="11" t="n">
        <f aca="false">ROUND(AVERAGEIF(tblHRDataClean[Department],B24,tblHRDataClean[Monthly_Salary]),0)</f>
        <v>53207</v>
      </c>
      <c r="E24" s="12" t="n">
        <f aca="false">ROUND(COUNTIFS(tblHRDataClean[Department],B24,tblHRDataClean[Attrition],"Yes")/COUNTIF(tblHRDataClean[Department],B24),4)</f>
        <v>0.125</v>
      </c>
    </row>
    <row r="25" customFormat="false" ht="15" hidden="false" customHeight="true" outlineLevel="0" collapsed="false">
      <c r="B25" s="11" t="s">
        <v>26</v>
      </c>
      <c r="C25" s="11" t="n">
        <f aca="false">COUNTIF(tblHRDataClean[Department],B25)</f>
        <v>20</v>
      </c>
      <c r="D25" s="11" t="n">
        <f aca="false">ROUND(AVERAGEIF(tblHRDataClean[Department],B25,tblHRDataClean[Monthly_Salary]),0)</f>
        <v>58062</v>
      </c>
      <c r="E25" s="12" t="n">
        <f aca="false">ROUND(COUNTIFS(tblHRDataClean[Department],B25,tblHRDataClean[Attrition],"Yes")/COUNTIF(tblHRDataClean[Department],B25),4)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7" min="3" style="1" width="16"/>
  </cols>
  <sheetData>
    <row r="2" customFormat="false" ht="19.5" hidden="false" customHeight="true" outlineLevel="0" collapsed="false">
      <c r="B2" s="7" t="s">
        <v>171</v>
      </c>
    </row>
    <row r="3" customFormat="false" ht="15" hidden="false" customHeight="true" outlineLevel="0" collapsed="false">
      <c r="B3" s="6" t="s">
        <v>172</v>
      </c>
    </row>
    <row r="5" customFormat="false" ht="15" hidden="false" customHeight="true" outlineLevel="0" collapsed="false">
      <c r="B5" s="4" t="s">
        <v>173</v>
      </c>
    </row>
    <row r="6" customFormat="false" ht="15" hidden="false" customHeight="true" outlineLevel="0" collapsed="false">
      <c r="B6" s="13" t="s">
        <v>3</v>
      </c>
      <c r="C6" s="14" t="s">
        <v>168</v>
      </c>
    </row>
    <row r="7" customFormat="false" ht="15" hidden="false" customHeight="true" outlineLevel="0" collapsed="false">
      <c r="B7" s="11" t="s">
        <v>48</v>
      </c>
      <c r="C7" s="11" t="n">
        <f aca="false">COUNTIF(tblHRDataClean[Department],"Engineering")</f>
        <v>24</v>
      </c>
    </row>
    <row r="8" customFormat="false" ht="15" hidden="false" customHeight="true" outlineLevel="0" collapsed="false">
      <c r="B8" s="11" t="s">
        <v>16</v>
      </c>
      <c r="C8" s="11" t="n">
        <f aca="false">COUNTIF(tblHRDataClean[Department],"Finance")</f>
        <v>14</v>
      </c>
    </row>
    <row r="9" customFormat="false" ht="15" hidden="false" customHeight="true" outlineLevel="0" collapsed="false">
      <c r="B9" s="11" t="s">
        <v>22</v>
      </c>
      <c r="C9" s="11" t="n">
        <f aca="false">COUNTIF(tblHRDataClean[Department],"HR")</f>
        <v>12</v>
      </c>
    </row>
    <row r="10" customFormat="false" ht="15" hidden="false" customHeight="true" outlineLevel="0" collapsed="false">
      <c r="B10" s="11" t="s">
        <v>31</v>
      </c>
      <c r="C10" s="11" t="n">
        <f aca="false">COUNTIF(tblHRDataClean[Department],"Marketing")</f>
        <v>14</v>
      </c>
    </row>
    <row r="11" customFormat="false" ht="15" hidden="false" customHeight="true" outlineLevel="0" collapsed="false">
      <c r="B11" s="11" t="s">
        <v>42</v>
      </c>
      <c r="C11" s="11" t="n">
        <f aca="false">COUNTIF(tblHRDataClean[Department],"Operations")</f>
        <v>16</v>
      </c>
    </row>
    <row r="12" customFormat="false" ht="15" hidden="false" customHeight="true" outlineLevel="0" collapsed="false">
      <c r="B12" s="11" t="s">
        <v>26</v>
      </c>
      <c r="C12" s="11" t="n">
        <f aca="false">COUNTIF(tblHRDataClean[Department],"Sales")</f>
        <v>20</v>
      </c>
    </row>
    <row r="15" customFormat="false" ht="15" hidden="false" customHeight="true" outlineLevel="0" collapsed="false">
      <c r="B15" s="4" t="s">
        <v>174</v>
      </c>
    </row>
    <row r="16" customFormat="false" ht="15" hidden="false" customHeight="true" outlineLevel="0" collapsed="false">
      <c r="B16" s="13" t="s">
        <v>3</v>
      </c>
      <c r="C16" s="14" t="s">
        <v>175</v>
      </c>
      <c r="D16" s="14" t="s">
        <v>170</v>
      </c>
    </row>
    <row r="17" customFormat="false" ht="15" hidden="false" customHeight="true" outlineLevel="0" collapsed="false">
      <c r="B17" s="11" t="s">
        <v>48</v>
      </c>
      <c r="C17" s="11" t="n">
        <f aca="false">COUNTIFS(tblHRDataClean[Department],"Engineering",tblHRDataClean[Attrition],"Yes")</f>
        <v>6</v>
      </c>
      <c r="D17" s="12" t="n">
        <f aca="false">ROUND(COUNTIFS(tblHRDataClean[Department],"Engineering",tblHRDataClean[Attrition],"Yes")/COUNTIF(tblHRDataClean[Department],"Engineering"),4)</f>
        <v>0.25</v>
      </c>
    </row>
    <row r="18" customFormat="false" ht="15" hidden="false" customHeight="true" outlineLevel="0" collapsed="false">
      <c r="B18" s="11" t="s">
        <v>16</v>
      </c>
      <c r="C18" s="11" t="n">
        <f aca="false">COUNTIFS(tblHRDataClean[Department],"Finance",tblHRDataClean[Attrition],"Yes")</f>
        <v>0</v>
      </c>
      <c r="D18" s="12" t="n">
        <f aca="false">ROUND(COUNTIFS(tblHRDataClean[Department],"Finance",tblHRDataClean[Attrition],"Yes")/COUNTIF(tblHRDataClean[Department],"Finance"),4)</f>
        <v>0</v>
      </c>
    </row>
    <row r="19" customFormat="false" ht="15" hidden="false" customHeight="true" outlineLevel="0" collapsed="false">
      <c r="B19" s="11" t="s">
        <v>22</v>
      </c>
      <c r="C19" s="11" t="n">
        <f aca="false">COUNTIFS(tblHRDataClean[Department],"HR",tblHRDataClean[Attrition],"Yes")</f>
        <v>2</v>
      </c>
      <c r="D19" s="12" t="n">
        <f aca="false">ROUND(COUNTIFS(tblHRDataClean[Department],"HR",tblHRDataClean[Attrition],"Yes")/COUNTIF(tblHRDataClean[Department],"HR"),4)</f>
        <v>0.1667</v>
      </c>
    </row>
    <row r="20" customFormat="false" ht="15" hidden="false" customHeight="true" outlineLevel="0" collapsed="false">
      <c r="B20" s="11" t="s">
        <v>31</v>
      </c>
      <c r="C20" s="11" t="n">
        <f aca="false">COUNTIFS(tblHRDataClean[Department],"Marketing",tblHRDataClean[Attrition],"Yes")</f>
        <v>5</v>
      </c>
      <c r="D20" s="12" t="n">
        <f aca="false">ROUND(COUNTIFS(tblHRDataClean[Department],"Marketing",tblHRDataClean[Attrition],"Yes")/COUNTIF(tblHRDataClean[Department],"Marketing"),4)</f>
        <v>0.3571</v>
      </c>
    </row>
    <row r="21" customFormat="false" ht="15" hidden="false" customHeight="true" outlineLevel="0" collapsed="false">
      <c r="B21" s="11" t="s">
        <v>42</v>
      </c>
      <c r="C21" s="11" t="n">
        <f aca="false">COUNTIFS(tblHRDataClean[Department],"Operations",tblHRDataClean[Attrition],"Yes")</f>
        <v>2</v>
      </c>
      <c r="D21" s="12" t="n">
        <f aca="false">ROUND(COUNTIFS(tblHRDataClean[Department],"Operations",tblHRDataClean[Attrition],"Yes")/COUNTIF(tblHRDataClean[Department],"Operations"),4)</f>
        <v>0.125</v>
      </c>
    </row>
    <row r="22" customFormat="false" ht="15" hidden="false" customHeight="true" outlineLevel="0" collapsed="false">
      <c r="B22" s="11" t="s">
        <v>26</v>
      </c>
      <c r="C22" s="11" t="n">
        <f aca="false">COUNTIFS(tblHRDataClean[Department],"Sales",tblHRDataClean[Attrition],"Yes")</f>
        <v>4</v>
      </c>
      <c r="D22" s="12" t="n">
        <f aca="false">ROUND(COUNTIFS(tblHRDataClean[Department],"Sales",tblHRDataClean[Attrition],"Yes")/COUNTIF(tblHRDataClean[Department],"Sales"),4)</f>
        <v>0.2</v>
      </c>
    </row>
    <row r="25" customFormat="false" ht="15" hidden="false" customHeight="true" outlineLevel="0" collapsed="false">
      <c r="B25" s="4" t="s">
        <v>176</v>
      </c>
    </row>
    <row r="26" customFormat="false" ht="15" hidden="false" customHeight="true" outlineLevel="0" collapsed="false">
      <c r="B26" s="13" t="s">
        <v>3</v>
      </c>
      <c r="C26" s="14" t="s">
        <v>177</v>
      </c>
    </row>
    <row r="27" customFormat="false" ht="15" hidden="false" customHeight="true" outlineLevel="0" collapsed="false">
      <c r="B27" s="11" t="s">
        <v>48</v>
      </c>
      <c r="C27" s="11" t="n">
        <f aca="false">ROUND(AVERAGEIF(tblHRDataClean[Department],"Engineering",tblHRDataClean[Monthly_Salary]),0)</f>
        <v>81527</v>
      </c>
    </row>
    <row r="28" customFormat="false" ht="15" hidden="false" customHeight="true" outlineLevel="0" collapsed="false">
      <c r="B28" s="11" t="s">
        <v>16</v>
      </c>
      <c r="C28" s="11" t="n">
        <f aca="false">ROUND(AVERAGEIF(tblHRDataClean[Department],"Finance",tblHRDataClean[Monthly_Salary]),0)</f>
        <v>61099</v>
      </c>
    </row>
    <row r="29" customFormat="false" ht="15" hidden="false" customHeight="true" outlineLevel="0" collapsed="false">
      <c r="B29" s="11" t="s">
        <v>22</v>
      </c>
      <c r="C29" s="11" t="n">
        <f aca="false">ROUND(AVERAGEIF(tblHRDataClean[Department],"HR",tblHRDataClean[Monthly_Salary]),0)</f>
        <v>54089</v>
      </c>
    </row>
    <row r="30" customFormat="false" ht="15" hidden="false" customHeight="true" outlineLevel="0" collapsed="false">
      <c r="B30" s="11" t="s">
        <v>31</v>
      </c>
      <c r="C30" s="11" t="n">
        <f aca="false">ROUND(AVERAGEIF(tblHRDataClean[Department],"Marketing",tblHRDataClean[Monthly_Salary]),0)</f>
        <v>58822</v>
      </c>
    </row>
    <row r="31" customFormat="false" ht="15" hidden="false" customHeight="true" outlineLevel="0" collapsed="false">
      <c r="B31" s="11" t="s">
        <v>42</v>
      </c>
      <c r="C31" s="11" t="n">
        <f aca="false">ROUND(AVERAGEIF(tblHRDataClean[Department],"Operations",tblHRDataClean[Monthly_Salary]),0)</f>
        <v>53207</v>
      </c>
    </row>
    <row r="32" customFormat="false" ht="15" hidden="false" customHeight="true" outlineLevel="0" collapsed="false">
      <c r="B32" s="11" t="s">
        <v>26</v>
      </c>
      <c r="C32" s="11" t="n">
        <f aca="false">ROUND(AVERAGEIF(tblHRDataClean[Department],"Sales",tblHRDataClean[Monthly_Salary]),0)</f>
        <v>58062</v>
      </c>
    </row>
    <row r="35" customFormat="false" ht="15" hidden="false" customHeight="true" outlineLevel="0" collapsed="false">
      <c r="B35" s="4" t="s">
        <v>178</v>
      </c>
    </row>
    <row r="36" customFormat="false" ht="15" hidden="false" customHeight="true" outlineLevel="0" collapsed="false">
      <c r="B36" s="13" t="s">
        <v>179</v>
      </c>
      <c r="C36" s="14" t="s">
        <v>177</v>
      </c>
      <c r="D36" s="14" t="s">
        <v>168</v>
      </c>
    </row>
    <row r="37" customFormat="false" ht="15" hidden="false" customHeight="true" outlineLevel="0" collapsed="false">
      <c r="B37" s="11" t="s">
        <v>180</v>
      </c>
      <c r="C37" s="11" t="n">
        <f aca="false">ROUND(AVERAGEIF(tblHRDataClean[Performance_Rating],1,tblHRDataClean[Monthly_Salary]),0)</f>
        <v>66320</v>
      </c>
      <c r="D37" s="11" t="n">
        <f aca="false">COUNTIF(tblHRDataClean[Performance_Rating],1)</f>
        <v>9</v>
      </c>
    </row>
    <row r="38" customFormat="false" ht="15" hidden="false" customHeight="true" outlineLevel="0" collapsed="false">
      <c r="B38" s="11" t="s">
        <v>181</v>
      </c>
      <c r="C38" s="11" t="n">
        <f aca="false">ROUND(AVERAGEIF(tblHRDataClean[Performance_Rating],2,tblHRDataClean[Monthly_Salary]),0)</f>
        <v>60490</v>
      </c>
      <c r="D38" s="11" t="n">
        <f aca="false">COUNTIF(tblHRDataClean[Performance_Rating],2)</f>
        <v>31</v>
      </c>
    </row>
    <row r="39" customFormat="false" ht="15" hidden="false" customHeight="true" outlineLevel="0" collapsed="false">
      <c r="B39" s="11" t="s">
        <v>182</v>
      </c>
      <c r="C39" s="11" t="n">
        <f aca="false">ROUND(AVERAGEIF(tblHRDataClean[Performance_Rating],3,tblHRDataClean[Monthly_Salary]),0)</f>
        <v>61185</v>
      </c>
      <c r="D39" s="11" t="n">
        <f aca="false">COUNTIF(tblHRDataClean[Performance_Rating],3)</f>
        <v>41</v>
      </c>
    </row>
    <row r="40" customFormat="false" ht="15" hidden="false" customHeight="true" outlineLevel="0" collapsed="false">
      <c r="B40" s="11" t="s">
        <v>183</v>
      </c>
      <c r="C40" s="11" t="n">
        <f aca="false">ROUND(AVERAGEIF(tblHRDataClean[Performance_Rating],4,tblHRDataClean[Monthly_Salary]),0)</f>
        <v>64522</v>
      </c>
      <c r="D40" s="11" t="n">
        <f aca="false">COUNTIF(tblHRDataClean[Performance_Rating],4)</f>
        <v>16</v>
      </c>
    </row>
    <row r="41" customFormat="false" ht="15" hidden="false" customHeight="true" outlineLevel="0" collapsed="false">
      <c r="B41" s="11" t="s">
        <v>184</v>
      </c>
      <c r="C41" s="11" t="n">
        <f aca="false">ROUND(AVERAGEIF(tblHRDataClean[Performance_Rating],5,tblHRDataClean[Monthly_Salary]),0)</f>
        <v>94720</v>
      </c>
      <c r="D41" s="11" t="n">
        <f aca="false">COUNTIF(tblHRDataClean[Performance_Rating],5)</f>
        <v>3</v>
      </c>
    </row>
    <row r="44" customFormat="false" ht="15" hidden="false" customHeight="true" outlineLevel="0" collapsed="false">
      <c r="B44" s="4" t="s">
        <v>185</v>
      </c>
    </row>
    <row r="45" customFormat="false" ht="15" hidden="false" customHeight="true" outlineLevel="0" collapsed="false">
      <c r="B45" s="13" t="s">
        <v>10</v>
      </c>
      <c r="C45" s="14" t="s">
        <v>168</v>
      </c>
      <c r="D45" s="14" t="s">
        <v>175</v>
      </c>
      <c r="E45" s="14" t="s">
        <v>170</v>
      </c>
    </row>
    <row r="46" customFormat="false" ht="15" hidden="false" customHeight="true" outlineLevel="0" collapsed="false">
      <c r="B46" s="11" t="s">
        <v>29</v>
      </c>
      <c r="C46" s="11" t="n">
        <f aca="false">COUNTIF(tblHRDataClean[Overtime],"Yes")</f>
        <v>37</v>
      </c>
      <c r="D46" s="11" t="n">
        <f aca="false">COUNTIFS(tblHRDataClean[Overtime],"Yes",tblHRDataClean[Attrition],"Yes")</f>
        <v>9</v>
      </c>
      <c r="E46" s="12" t="n">
        <f aca="false">ROUND(COUNTIFS(tblHRDataClean[Overtime],"Yes",tblHRDataClean[Attrition],"Yes")/COUNTIF(tblHRDataClean[Overtime],"Yes"),4)</f>
        <v>0.2432</v>
      </c>
    </row>
    <row r="47" customFormat="false" ht="15" hidden="false" customHeight="true" outlineLevel="0" collapsed="false">
      <c r="B47" s="11" t="s">
        <v>19</v>
      </c>
      <c r="C47" s="11" t="n">
        <f aca="false">COUNTIF(tblHRDataClean[Overtime],"No")</f>
        <v>63</v>
      </c>
      <c r="D47" s="11" t="n">
        <f aca="false">COUNTIFS(tblHRDataClean[Overtime],"No",tblHRDataClean[Attrition],"Yes")</f>
        <v>10</v>
      </c>
      <c r="E47" s="12" t="n">
        <f aca="false">ROUND(COUNTIFS(tblHRDataClean[Overtime],"No",tblHRDataClean[Attrition],"Yes")/COUNTIF(tblHRDataClean[Overtime],"No"),4)</f>
        <v>0.1587</v>
      </c>
    </row>
    <row r="50" customFormat="false" ht="15" hidden="false" customHeight="true" outlineLevel="0" collapsed="false">
      <c r="B50" s="4" t="s">
        <v>186</v>
      </c>
    </row>
    <row r="51" customFormat="false" ht="15" hidden="false" customHeight="true" outlineLevel="0" collapsed="false">
      <c r="B51" s="13" t="s">
        <v>187</v>
      </c>
      <c r="C51" s="14" t="s">
        <v>168</v>
      </c>
      <c r="D51" s="14" t="s">
        <v>175</v>
      </c>
      <c r="E51" s="14" t="s">
        <v>170</v>
      </c>
    </row>
    <row r="52" customFormat="false" ht="15" hidden="false" customHeight="true" outlineLevel="0" collapsed="false">
      <c r="B52" s="11" t="s">
        <v>180</v>
      </c>
      <c r="C52" s="11" t="n">
        <f aca="false">COUNTIF(tblHRDataClean[Job_Satisfaction],1)</f>
        <v>11</v>
      </c>
      <c r="D52" s="11" t="n">
        <f aca="false">COUNTIFS(tblHRDataClean[Job_Satisfaction],1,tblHRDataClean[Attrition],"Yes")</f>
        <v>3</v>
      </c>
      <c r="E52" s="12" t="n">
        <f aca="false">ROUND(COUNTIFS(tblHRDataClean[Job_Satisfaction],1,tblHRDataClean[Attrition],"Yes")/COUNTIF(tblHRDataClean[Job_Satisfaction],1),4)</f>
        <v>0.2727</v>
      </c>
    </row>
    <row r="53" customFormat="false" ht="15" hidden="false" customHeight="true" outlineLevel="0" collapsed="false">
      <c r="B53" s="11" t="s">
        <v>181</v>
      </c>
      <c r="C53" s="11" t="n">
        <f aca="false">COUNTIF(tblHRDataClean[Job_Satisfaction],2)</f>
        <v>30</v>
      </c>
      <c r="D53" s="11" t="n">
        <f aca="false">COUNTIFS(tblHRDataClean[Job_Satisfaction],2,tblHRDataClean[Attrition],"Yes")</f>
        <v>5</v>
      </c>
      <c r="E53" s="12" t="n">
        <f aca="false">ROUND(COUNTIFS(tblHRDataClean[Job_Satisfaction],2,tblHRDataClean[Attrition],"Yes")/COUNTIF(tblHRDataClean[Job_Satisfaction],2),4)</f>
        <v>0.1667</v>
      </c>
    </row>
    <row r="54" customFormat="false" ht="15" hidden="false" customHeight="true" outlineLevel="0" collapsed="false">
      <c r="B54" s="11" t="s">
        <v>182</v>
      </c>
      <c r="C54" s="11" t="n">
        <f aca="false">COUNTIF(tblHRDataClean[Job_Satisfaction],3)</f>
        <v>42</v>
      </c>
      <c r="D54" s="11" t="n">
        <f aca="false">COUNTIFS(tblHRDataClean[Job_Satisfaction],3,tblHRDataClean[Attrition],"Yes")</f>
        <v>8</v>
      </c>
      <c r="E54" s="12" t="n">
        <f aca="false">ROUND(COUNTIFS(tblHRDataClean[Job_Satisfaction],3,tblHRDataClean[Attrition],"Yes")/COUNTIF(tblHRDataClean[Job_Satisfaction],3),4)</f>
        <v>0.1905</v>
      </c>
    </row>
    <row r="55" customFormat="false" ht="15" hidden="false" customHeight="true" outlineLevel="0" collapsed="false">
      <c r="B55" s="11" t="s">
        <v>183</v>
      </c>
      <c r="C55" s="11" t="n">
        <f aca="false">COUNTIF(tblHRDataClean[Job_Satisfaction],4)</f>
        <v>15</v>
      </c>
      <c r="D55" s="11" t="n">
        <f aca="false">COUNTIFS(tblHRDataClean[Job_Satisfaction],4,tblHRDataClean[Attrition],"Yes")</f>
        <v>3</v>
      </c>
      <c r="E55" s="12" t="n">
        <f aca="false">ROUND(COUNTIFS(tblHRDataClean[Job_Satisfaction],4,tblHRDataClean[Attrition],"Yes")/COUNTIF(tblHRDataClean[Job_Satisfaction],4),4)</f>
        <v>0.2</v>
      </c>
    </row>
    <row r="56" customFormat="false" ht="15" hidden="false" customHeight="true" outlineLevel="0" collapsed="false">
      <c r="B56" s="11" t="s">
        <v>184</v>
      </c>
      <c r="C56" s="11" t="n">
        <f aca="false">COUNTIF(tblHRDataClean[Job_Satisfaction],5)</f>
        <v>2</v>
      </c>
      <c r="D56" s="11" t="n">
        <f aca="false">COUNTIFS(tblHRDataClean[Job_Satisfaction],5,tblHRDataClean[Attrition],"Yes")</f>
        <v>0</v>
      </c>
      <c r="E56" s="12" t="n">
        <f aca="false">ROUND(COUNTIFS(tblHRDataClean[Job_Satisfaction],5,tblHRDataClean[Attrition],"Yes")/COUNTIF(tblHRDataClean[Job_Satisfaction],5),4)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16"/>
    <col collapsed="false" customWidth="true" hidden="false" outlineLevel="0" max="8" min="8" style="1" width="3"/>
    <col collapsed="false" customWidth="true" hidden="false" outlineLevel="0" max="12" min="9" style="1" width="16"/>
  </cols>
  <sheetData>
    <row r="2" customFormat="false" ht="21.75" hidden="false" customHeight="true" outlineLevel="0" collapsed="false">
      <c r="B2" s="15" t="s">
        <v>188</v>
      </c>
    </row>
    <row r="3" customFormat="false" ht="15" hidden="false" customHeight="true" outlineLevel="0" collapsed="false">
      <c r="B3" s="16" t="s">
        <v>189</v>
      </c>
    </row>
    <row r="5" customFormat="false" ht="15" hidden="false" customHeight="true" outlineLevel="0" collapsed="false">
      <c r="B5" s="17" t="s">
        <v>190</v>
      </c>
      <c r="C5" s="17"/>
      <c r="D5" s="17" t="s">
        <v>170</v>
      </c>
      <c r="E5" s="17"/>
      <c r="F5" s="17" t="s">
        <v>177</v>
      </c>
      <c r="G5" s="17"/>
      <c r="H5" s="17" t="s">
        <v>191</v>
      </c>
      <c r="I5" s="17"/>
      <c r="J5" s="17" t="s">
        <v>192</v>
      </c>
      <c r="K5" s="17"/>
      <c r="L5" s="17" t="s">
        <v>193</v>
      </c>
      <c r="M5" s="17"/>
    </row>
    <row r="6" customFormat="false" ht="15" hidden="false" customHeight="true" outlineLevel="0" collapsed="false">
      <c r="B6" s="18" t="n">
        <f aca="false">Analysis!C6</f>
        <v>100</v>
      </c>
      <c r="C6" s="18"/>
      <c r="D6" s="19" t="n">
        <f aca="false">Analysis!C15</f>
        <v>0.19</v>
      </c>
      <c r="E6" s="19"/>
      <c r="F6" s="20" t="n">
        <f aca="false">Analysis!C7</f>
        <v>62972</v>
      </c>
      <c r="G6" s="20"/>
      <c r="H6" s="21" t="n">
        <f aca="false">Analysis!C12</f>
        <v>2.67</v>
      </c>
      <c r="I6" s="21"/>
      <c r="J6" s="21" t="n">
        <f aca="false">Analysis!C13</f>
        <v>2.73</v>
      </c>
      <c r="K6" s="21"/>
      <c r="L6" s="19" t="n">
        <f aca="false">Analysis!C10</f>
        <v>0.37</v>
      </c>
      <c r="M6" s="19"/>
    </row>
    <row r="7" customFormat="false" ht="15" hidden="false" customHeight="true" outlineLevel="0" collapsed="false">
      <c r="B7" s="18"/>
      <c r="C7" s="18"/>
      <c r="D7" s="19"/>
      <c r="E7" s="19"/>
      <c r="F7" s="20"/>
      <c r="G7" s="20"/>
      <c r="H7" s="21"/>
      <c r="I7" s="21"/>
      <c r="J7" s="21"/>
      <c r="K7" s="21"/>
      <c r="L7" s="19"/>
      <c r="M7" s="19"/>
    </row>
  </sheetData>
  <mergeCells count="12"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22" t="s">
        <v>194</v>
      </c>
    </row>
    <row r="3" customFormat="false" ht="27.75" hidden="false" customHeight="true" outlineLevel="0" collapsed="false">
      <c r="B3" s="23" t="s">
        <v>195</v>
      </c>
      <c r="C3" s="23"/>
    </row>
    <row r="5" customFormat="false" ht="15" hidden="false" customHeight="false" outlineLevel="0" collapsed="false">
      <c r="B5" s="24" t="s">
        <v>196</v>
      </c>
      <c r="C5" s="24"/>
    </row>
    <row r="6" customFormat="false" ht="31.5" hidden="false" customHeight="true" outlineLevel="0" collapsed="false">
      <c r="B6" s="25" t="s">
        <v>197</v>
      </c>
      <c r="C6" s="26" t="s">
        <v>198</v>
      </c>
    </row>
    <row r="7" customFormat="false" ht="42" hidden="false" customHeight="true" outlineLevel="0" collapsed="false">
      <c r="B7" s="27" t="s">
        <v>199</v>
      </c>
      <c r="C7" s="28" t="s">
        <v>200</v>
      </c>
    </row>
    <row r="9" customFormat="false" ht="15" hidden="false" customHeight="false" outlineLevel="0" collapsed="false">
      <c r="B9" s="24" t="s">
        <v>201</v>
      </c>
      <c r="C9" s="24"/>
    </row>
    <row r="10" customFormat="false" ht="31.5" hidden="false" customHeight="true" outlineLevel="0" collapsed="false">
      <c r="B10" s="25" t="s">
        <v>197</v>
      </c>
      <c r="C10" s="26" t="s">
        <v>202</v>
      </c>
    </row>
    <row r="11" customFormat="false" ht="42" hidden="false" customHeight="true" outlineLevel="0" collapsed="false">
      <c r="B11" s="27" t="s">
        <v>199</v>
      </c>
      <c r="C11" s="28" t="s">
        <v>203</v>
      </c>
    </row>
    <row r="13" customFormat="false" ht="15" hidden="false" customHeight="false" outlineLevel="0" collapsed="false">
      <c r="B13" s="24" t="s">
        <v>204</v>
      </c>
      <c r="C13" s="24"/>
    </row>
    <row r="14" customFormat="false" ht="31.5" hidden="false" customHeight="true" outlineLevel="0" collapsed="false">
      <c r="B14" s="25" t="s">
        <v>197</v>
      </c>
      <c r="C14" s="26" t="s">
        <v>205</v>
      </c>
    </row>
    <row r="15" customFormat="false" ht="42" hidden="false" customHeight="true" outlineLevel="0" collapsed="false">
      <c r="B15" s="27" t="s">
        <v>199</v>
      </c>
      <c r="C15" s="28" t="s">
        <v>206</v>
      </c>
    </row>
    <row r="17" customFormat="false" ht="15" hidden="false" customHeight="false" outlineLevel="0" collapsed="false">
      <c r="B17" s="24" t="s">
        <v>207</v>
      </c>
      <c r="C17" s="24"/>
    </row>
    <row r="18" customFormat="false" ht="31.5" hidden="false" customHeight="true" outlineLevel="0" collapsed="false">
      <c r="B18" s="25" t="s">
        <v>197</v>
      </c>
      <c r="C18" s="26" t="s">
        <v>208</v>
      </c>
    </row>
    <row r="19" customFormat="false" ht="42" hidden="false" customHeight="true" outlineLevel="0" collapsed="false">
      <c r="B19" s="27" t="s">
        <v>199</v>
      </c>
      <c r="C19" s="28" t="s">
        <v>209</v>
      </c>
    </row>
    <row r="21" customFormat="false" ht="15" hidden="false" customHeight="false" outlineLevel="0" collapsed="false">
      <c r="B21" s="24" t="s">
        <v>210</v>
      </c>
      <c r="C21" s="24"/>
    </row>
    <row r="22" customFormat="false" ht="31.5" hidden="false" customHeight="true" outlineLevel="0" collapsed="false">
      <c r="B22" s="25" t="s">
        <v>197</v>
      </c>
      <c r="C22" s="26" t="s">
        <v>211</v>
      </c>
    </row>
    <row r="23" customFormat="false" ht="42" hidden="false" customHeight="true" outlineLevel="0" collapsed="false">
      <c r="B23" s="27" t="s">
        <v>199</v>
      </c>
      <c r="C23" s="28" t="s">
        <v>212</v>
      </c>
    </row>
    <row r="25" customFormat="false" ht="15" hidden="false" customHeight="false" outlineLevel="0" collapsed="false">
      <c r="B25" s="24" t="s">
        <v>213</v>
      </c>
      <c r="C25" s="24"/>
    </row>
    <row r="26" customFormat="false" ht="31.5" hidden="false" customHeight="true" outlineLevel="0" collapsed="false">
      <c r="B26" s="25" t="s">
        <v>197</v>
      </c>
      <c r="C26" s="26" t="s">
        <v>214</v>
      </c>
    </row>
    <row r="27" customFormat="false" ht="42" hidden="false" customHeight="true" outlineLevel="0" collapsed="false">
      <c r="B27" s="27" t="s">
        <v>199</v>
      </c>
      <c r="C27" s="28" t="s">
        <v>215</v>
      </c>
    </row>
    <row r="29" customFormat="false" ht="15" hidden="false" customHeight="false" outlineLevel="0" collapsed="false">
      <c r="B29" s="24" t="s">
        <v>216</v>
      </c>
      <c r="C29" s="24"/>
    </row>
    <row r="30" customFormat="false" ht="31.5" hidden="false" customHeight="true" outlineLevel="0" collapsed="false">
      <c r="B30" s="25" t="s">
        <v>197</v>
      </c>
      <c r="C30" s="26" t="s">
        <v>217</v>
      </c>
    </row>
    <row r="31" customFormat="false" ht="42" hidden="false" customHeight="true" outlineLevel="0" collapsed="false">
      <c r="B31" s="27" t="s">
        <v>199</v>
      </c>
      <c r="C31" s="28" t="s">
        <v>218</v>
      </c>
    </row>
    <row r="33" customFormat="false" ht="15" hidden="false" customHeight="false" outlineLevel="0" collapsed="false">
      <c r="B33" s="24" t="s">
        <v>219</v>
      </c>
      <c r="C33" s="24"/>
    </row>
    <row r="34" customFormat="false" ht="31.5" hidden="false" customHeight="true" outlineLevel="0" collapsed="false">
      <c r="B34" s="25" t="s">
        <v>197</v>
      </c>
      <c r="C34" s="26" t="s">
        <v>220</v>
      </c>
    </row>
    <row r="35" customFormat="false" ht="42" hidden="false" customHeight="true" outlineLevel="0" collapsed="false">
      <c r="B35" s="27" t="s">
        <v>199</v>
      </c>
      <c r="C35" s="28" t="s">
        <v>221</v>
      </c>
    </row>
  </sheetData>
  <mergeCells count="9">
    <mergeCell ref="B3:C3"/>
    <mergeCell ref="B5:C5"/>
    <mergeCell ref="B9:C9"/>
    <mergeCell ref="B13:C13"/>
    <mergeCell ref="B17:C17"/>
    <mergeCell ref="B21:C21"/>
    <mergeCell ref="B25:C25"/>
    <mergeCell ref="B29:C29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2026-09-22T19:25:01Z</dcterms:created>
  <dc:creator>openpyxl</dc:creator>
  <dc:description/>
  <dc:language>en-US</dc:language>
  <cp:lastModifiedBy/>
  <dcterms:modified xsi:type="dcterms:W3CDTF">2026-09-22T19:25:37Z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